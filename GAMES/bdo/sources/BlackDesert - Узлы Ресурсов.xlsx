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злыРесы(1)" sheetId="1" r:id="rId4"/>
    <sheet state="visible" name="+ Фильтр узлы + ресурсы" sheetId="2" r:id="rId5"/>
    <sheet state="visible" name="Баленос-Серендия" sheetId="3" r:id="rId6"/>
    <sheet state="visible" name="Кальфеон - СтранаУтра" sheetId="4" r:id="rId7"/>
    <sheet state="visible" name="Медия-Валенсия" sheetId="5" r:id="rId8"/>
    <sheet state="visible" name="Кама-Дриган-Одилита-Горы" sheetId="6" r:id="rId9"/>
    <sheet state="visible" name="Бараки" sheetId="7" r:id="rId10"/>
  </sheets>
  <definedNames>
    <definedName hidden="1" localSheetId="1" name="_xlnm._FilterDatabase">'+ Фильтр узлы + ресурсы'!$A$3:$C$689</definedName>
  </definedNames>
  <calcPr/>
  <extLst>
    <ext uri="GoogleSheetsCustomDataVersion2">
      <go:sheetsCustomData xmlns:go="http://customooxmlschemas.google.com/" r:id="rId11" roundtripDataChecksum="zGUpqgbCEzW/a6pq6AFSdbbxQL/Q9S0hIMTynCTAkTs="/>
    </ext>
  </extLst>
</workbook>
</file>

<file path=xl/sharedStrings.xml><?xml version="1.0" encoding="utf-8"?>
<sst xmlns="http://schemas.openxmlformats.org/spreadsheetml/2006/main" count="3290" uniqueCount="1216">
  <si>
    <t>По карте (кнопка М) в Игре</t>
  </si>
  <si>
    <t>Кол-во узлов</t>
  </si>
  <si>
    <t>Узлы с ресурсами по моим данным:</t>
  </si>
  <si>
    <t>№</t>
  </si>
  <si>
    <t>Торговый узел (5):</t>
  </si>
  <si>
    <t>Область</t>
  </si>
  <si>
    <t>Производство:</t>
  </si>
  <si>
    <t>Обычный узел (320):</t>
  </si>
  <si>
    <t>Обычный узел (218):</t>
  </si>
  <si>
    <t>Города</t>
  </si>
  <si>
    <t>Ферма Бартелли</t>
  </si>
  <si>
    <t>Баленос</t>
  </si>
  <si>
    <t>Картофель. Курица, яйцо. Жареная курица</t>
  </si>
  <si>
    <t>Ферма Пинто</t>
  </si>
  <si>
    <t>Картофель. Курица, яйцо. Яблочный джем Пинто</t>
  </si>
  <si>
    <t>Остров Эводин</t>
  </si>
  <si>
    <t>Кальфеон</t>
  </si>
  <si>
    <t>---</t>
  </si>
  <si>
    <t>Море Росс 1</t>
  </si>
  <si>
    <t>Океан</t>
  </si>
  <si>
    <t>Поселения</t>
  </si>
  <si>
    <t>Ферма Алехандро</t>
  </si>
  <si>
    <t>Серендия</t>
  </si>
  <si>
    <t>Тыква. Мёд. Особый мёд Алехандро</t>
  </si>
  <si>
    <t>Каменный зал древних (скрытый)</t>
  </si>
  <si>
    <t>Увядшие листья, треснувший коготь, порошок земли, порошок починки</t>
  </si>
  <si>
    <t>Остров Овэн</t>
  </si>
  <si>
    <t>Сушеный дитрем/остронос/килька/язь ! Ставрида/налим/летучая рыба/язь. БАРТЕР</t>
  </si>
  <si>
    <t>Море Росс 2</t>
  </si>
  <si>
    <t>Врата</t>
  </si>
  <si>
    <t>Проверка кол-ва узлов с ресурсами</t>
  </si>
  <si>
    <t>Пастбище каменной пустоши</t>
  </si>
  <si>
    <t>Медия</t>
  </si>
  <si>
    <t>Соломенный портфель Аслана</t>
  </si>
  <si>
    <t>Пещера бесов</t>
  </si>
  <si>
    <t>Медная руда, пыль огня</t>
  </si>
  <si>
    <t>Остров Дэйтан</t>
  </si>
  <si>
    <t>Сушеная ставрида/летучая рыба/налим/судак. БАРТЕР</t>
  </si>
  <si>
    <t>Море Росс 3</t>
  </si>
  <si>
    <t>Торговый узел</t>
  </si>
  <si>
    <t>Лесопилка Дормана</t>
  </si>
  <si>
    <t>Дриган</t>
  </si>
  <si>
    <t xml:space="preserve">Древесина, доска, сок кипариса. Древесина, доска, сок плосковеточника. </t>
  </si>
  <si>
    <t>Ферма Лоджи</t>
  </si>
  <si>
    <t>Картофель. Ящик с отборным картофелем</t>
  </si>
  <si>
    <t>Остров Тондэ</t>
  </si>
  <si>
    <t>БАРТЕР</t>
  </si>
  <si>
    <t>Море Росс 4</t>
  </si>
  <si>
    <t>Опасная облась</t>
  </si>
  <si>
    <t>Грандина</t>
  </si>
  <si>
    <t>Камасильвия</t>
  </si>
  <si>
    <t>Ферма Марино</t>
  </si>
  <si>
    <t>Талисман счастья из прозрачного хрусталя</t>
  </si>
  <si>
    <t>Остров Варатерра</t>
  </si>
  <si>
    <t>Сушеный дитрем/остронос/скат/килька ! Остронос/ставрида/летучая рыба/налим</t>
  </si>
  <si>
    <t>Море Росс 5</t>
  </si>
  <si>
    <t>Узел</t>
  </si>
  <si>
    <t>Руины замка Крон</t>
  </si>
  <si>
    <t>Календула, пучок клендулы</t>
  </si>
  <si>
    <t>Остров Рандис</t>
  </si>
  <si>
    <t>Сушеная ставрида/налим/красноперка/осминог ! Осетр/налим/килька/эвус. БАРТЕР</t>
  </si>
  <si>
    <r>
      <rPr>
        <rFont val="Arial"/>
        <color theme="1"/>
        <sz val="10.0"/>
      </rPr>
      <t xml:space="preserve">Море Росс 6 </t>
    </r>
    <r>
      <rPr>
        <rFont val="Arial"/>
        <b/>
        <i/>
        <color theme="1"/>
        <sz val="10.0"/>
      </rPr>
      <t>(из 7)</t>
    </r>
  </si>
  <si>
    <t>Итого:</t>
  </si>
  <si>
    <t>Холм Эхваз</t>
  </si>
  <si>
    <t>Древесина, сок ясеня. Подосиновик, большой подосиновик</t>
  </si>
  <si>
    <t>Остров Серка</t>
  </si>
  <si>
    <t>Сушеный остронос/осетр/летучая рыба/карась</t>
  </si>
  <si>
    <t>Лагри 1</t>
  </si>
  <si>
    <t>Лес разбойников</t>
  </si>
  <si>
    <t>Боровик, большой боровик</t>
  </si>
  <si>
    <t>Остров Ваэджа</t>
  </si>
  <si>
    <t>Сушеный остронос/ставрида/осьминог/омуль</t>
  </si>
  <si>
    <t>Лагри 2</t>
  </si>
  <si>
    <t>Опасная область (68):</t>
  </si>
  <si>
    <t>Лес Баленоса</t>
  </si>
  <si>
    <t>Календула, Пучок календулы. Древесина ясеня, волшебный листок</t>
  </si>
  <si>
    <t>Остров Модрик</t>
  </si>
  <si>
    <t>Сушеный дитрем/ставрида/налим/макрель</t>
  </si>
  <si>
    <t>Лагри 3</t>
  </si>
  <si>
    <t>Замок Крон</t>
  </si>
  <si>
    <t>Ферма Тоскани</t>
  </si>
  <si>
    <t>Кукуруза. Ящик с отборной кукурузой</t>
  </si>
  <si>
    <t>Остров Шионил</t>
  </si>
  <si>
    <t>Лагри 4</t>
  </si>
  <si>
    <t>Города (11):</t>
  </si>
  <si>
    <t>Пещера гоблинов</t>
  </si>
  <si>
    <t>Древесина ясеня, волшебный листок. Медная руда, грубый прозрачный хрусталь</t>
  </si>
  <si>
    <t>Прибрежная пещера</t>
  </si>
  <si>
    <t>Железная руда, пыль тьмы. Медная руда, пыль огня</t>
  </si>
  <si>
    <t>Остров Тэямаль</t>
  </si>
  <si>
    <t>Сушеная ставрида/килька/макрель/осьминог ! Дитрем/скалярия/ставрида/летучая рыба</t>
  </si>
  <si>
    <t>Лагри 5</t>
  </si>
  <si>
    <t>Велия</t>
  </si>
  <si>
    <t>Золотые слитки, серебро</t>
  </si>
  <si>
    <t>Роща отшельников</t>
  </si>
  <si>
    <t>Древесина клёна, ветвь монарха. Медная руда, пыль огня</t>
  </si>
  <si>
    <t>Алтарь Агриса</t>
  </si>
  <si>
    <t>Остров Рамеда</t>
  </si>
  <si>
    <t>Лагри 6</t>
  </si>
  <si>
    <t>Хидель</t>
  </si>
  <si>
    <t>Руины замка</t>
  </si>
  <si>
    <t>Древесина, сок клёна</t>
  </si>
  <si>
    <t>Прибрежные скалы</t>
  </si>
  <si>
    <t>Железная руда, пыль тьмы. Подосиновик, большой подосиновик</t>
  </si>
  <si>
    <t>Остров Зинборей</t>
  </si>
  <si>
    <t>Лагри 7</t>
  </si>
  <si>
    <t>Кровавый монастырь</t>
  </si>
  <si>
    <t>Врата Флорина</t>
  </si>
  <si>
    <t>Остров Нэтном</t>
  </si>
  <si>
    <t>Лагри 8</t>
  </si>
  <si>
    <t>Алтинова</t>
  </si>
  <si>
    <t>Святилище Серендии</t>
  </si>
  <si>
    <t>Древесина соcны, ветвь монарха</t>
  </si>
  <si>
    <t>Мост Ольдстера</t>
  </si>
  <si>
    <t>Остров Кайт</t>
  </si>
  <si>
    <t>Лагри 9</t>
  </si>
  <si>
    <t>Валенсия</t>
  </si>
  <si>
    <t>Логово Бираги</t>
  </si>
  <si>
    <t>Ферма Касто</t>
  </si>
  <si>
    <t>Виноград, ящик с отборным виноградом</t>
  </si>
  <si>
    <t>Остров Алрат</t>
  </si>
  <si>
    <t>Лагри 10</t>
  </si>
  <si>
    <t>Грана</t>
  </si>
  <si>
    <t>Древесина/доска пальмы. Кокос</t>
  </si>
  <si>
    <t>Форт Брейди</t>
  </si>
  <si>
    <t>Ферма Вейла</t>
  </si>
  <si>
    <t>Олива, ящик с отборными оливками</t>
  </si>
  <si>
    <t>Остров Эхо</t>
  </si>
  <si>
    <t>Лагри 11</t>
  </si>
  <si>
    <t>Двенкрун</t>
  </si>
  <si>
    <t>Южная нейтральная зона</t>
  </si>
  <si>
    <t>Волчий холм</t>
  </si>
  <si>
    <t>Древесина ясеня</t>
  </si>
  <si>
    <t>Остров Тиссен</t>
  </si>
  <si>
    <t>Лагри 12</t>
  </si>
  <si>
    <t>Одираксия</t>
  </si>
  <si>
    <t>Одиллита</t>
  </si>
  <si>
    <t>Западный лес Бри</t>
  </si>
  <si>
    <t>Древесина, сок ольхи. Опёнок, болшой опёнок</t>
  </si>
  <si>
    <t>Устье реки Баленоса</t>
  </si>
  <si>
    <t>Остров Амитэ</t>
  </si>
  <si>
    <t>Лагри 13</t>
  </si>
  <si>
    <t>Око Окилы</t>
  </si>
  <si>
    <t>Пещера Хируто</t>
  </si>
  <si>
    <t>Утес Фудо</t>
  </si>
  <si>
    <t>Медная руда</t>
  </si>
  <si>
    <t>Остров Саллис</t>
  </si>
  <si>
    <t>Лагри 14</t>
  </si>
  <si>
    <t>Деревня Эил</t>
  </si>
  <si>
    <t>Горы вечной зимы</t>
  </si>
  <si>
    <t>Хребет Каранды</t>
  </si>
  <si>
    <t>Черноголовка, пучок черноголовки</t>
  </si>
  <si>
    <t>Предгорье Фудо</t>
  </si>
  <si>
    <t>Остров Розы</t>
  </si>
  <si>
    <t>Лагри 15</t>
  </si>
  <si>
    <t>Мутыль</t>
  </si>
  <si>
    <t>Страна Утра</t>
  </si>
  <si>
    <t>Хребет дьявола</t>
  </si>
  <si>
    <t>Древесина ольхи, красная почка</t>
  </si>
  <si>
    <t>Побережъе Оливии</t>
  </si>
  <si>
    <t>Коралловый остров</t>
  </si>
  <si>
    <r>
      <rPr>
        <rFont val="Arial"/>
        <color theme="1"/>
        <sz val="10.0"/>
      </rPr>
      <t xml:space="preserve">Лагри 16 </t>
    </r>
    <r>
      <rPr>
        <rFont val="Arial"/>
        <b/>
        <i/>
        <color theme="1"/>
        <sz val="10.0"/>
      </rPr>
      <t>(из 29)</t>
    </r>
  </si>
  <si>
    <t>Пещера Кафрас</t>
  </si>
  <si>
    <t>Плато Эферии</t>
  </si>
  <si>
    <t>Остров Веры (скрытый)</t>
  </si>
  <si>
    <t>Чертеж фигура Чиро, звездный порошок, железная руда</t>
  </si>
  <si>
    <t>Воды Эур 1</t>
  </si>
  <si>
    <t>Перевал Эви</t>
  </si>
  <si>
    <t>Древесина кедра, ветвь монарха</t>
  </si>
  <si>
    <t>Лес Сипух</t>
  </si>
  <si>
    <t>Остров Хошита (скрытый)</t>
  </si>
  <si>
    <t>Чертеж черный парус Чиро, звездный порошок, железная руда</t>
  </si>
  <si>
    <t>Воды Эур 2</t>
  </si>
  <si>
    <t>Поселения (23)</t>
  </si>
  <si>
    <t>Лагерь Сонил</t>
  </si>
  <si>
    <t>Ферма Коста</t>
  </si>
  <si>
    <t>Пшеница. Тыква. Лён, льняная нить. Ящик с отборной тыквой</t>
  </si>
  <si>
    <t>Каменная пустошь</t>
  </si>
  <si>
    <t>Древесина / сок акации. Сучок кровавого дерева</t>
  </si>
  <si>
    <r>
      <rPr>
        <rFont val="Arial"/>
        <color theme="1"/>
        <sz val="10.0"/>
      </rPr>
      <t xml:space="preserve">Воды Эур 3 </t>
    </r>
    <r>
      <rPr>
        <rFont val="Arial"/>
        <b/>
        <i/>
        <color theme="1"/>
        <sz val="10.0"/>
      </rPr>
      <t>(из 7)</t>
    </r>
  </si>
  <si>
    <t>Западный лагерь стражников</t>
  </si>
  <si>
    <t>Первый лагерь гигантов</t>
  </si>
  <si>
    <t>Свинцовая руда, пыль разрушения</t>
  </si>
  <si>
    <t>Плантация Моретти</t>
  </si>
  <si>
    <t>Пшеница. Лён, льняная нить. Ящик с отборной пшеницей</t>
  </si>
  <si>
    <t>Северное плато Медии</t>
  </si>
  <si>
    <t xml:space="preserve">Древесина / сок пихты, кора старого дерева.  Древесина / сок клёна, кора старого дерева. </t>
  </si>
  <si>
    <t>Пустое море 1</t>
  </si>
  <si>
    <t>Город Оливия</t>
  </si>
  <si>
    <t>Ящик с древесиной из Баленоса</t>
  </si>
  <si>
    <t>Граница Сонил</t>
  </si>
  <si>
    <t>Шахта Хиделя</t>
  </si>
  <si>
    <t>Земля Эха</t>
  </si>
  <si>
    <t>Пустое море 2</t>
  </si>
  <si>
    <t>Город Глиши</t>
  </si>
  <si>
    <t>Ящик с отборным Подберёзовиком + золотые слитки, серебро</t>
  </si>
  <si>
    <t>Лаборатория Марни</t>
  </si>
  <si>
    <t>Ранчо Линчей</t>
  </si>
  <si>
    <t>Шерсть, шерстяная нить</t>
  </si>
  <si>
    <t>Храм Камасильва</t>
  </si>
  <si>
    <t>Лен, льняная нить. Опёнок, большой опенок.</t>
  </si>
  <si>
    <t>Пустое море 3</t>
  </si>
  <si>
    <t>Кеплан</t>
  </si>
  <si>
    <t>Заброшенная шахта</t>
  </si>
  <si>
    <t>Северная равнина Серендии</t>
  </si>
  <si>
    <t>Азалия. Древесина клёна, красная почка</t>
  </si>
  <si>
    <t>Плато Асула</t>
  </si>
  <si>
    <r>
      <rPr>
        <rFont val="Arial"/>
        <color theme="1"/>
        <sz val="10.0"/>
      </rPr>
      <t xml:space="preserve">Пустое море 4 </t>
    </r>
    <r>
      <rPr>
        <rFont val="Arial"/>
        <b/>
        <i/>
        <color theme="1"/>
        <sz val="10.0"/>
      </rPr>
      <t>(из 8)</t>
    </r>
  </si>
  <si>
    <t>Деревня Флорин</t>
  </si>
  <si>
    <r>
      <rPr>
        <rFont val="Arial"/>
        <color theme="1"/>
        <sz val="10.0"/>
      </rPr>
      <t xml:space="preserve">Ящик трав Флорина </t>
    </r>
    <r>
      <rPr>
        <rFont val="Arial"/>
        <i/>
        <color theme="1"/>
        <sz val="10.0"/>
      </rPr>
      <t>+ золотые слитки, серебро</t>
    </r>
  </si>
  <si>
    <t>Пещера глутонов</t>
  </si>
  <si>
    <t>Уголь, пыль разрушения. Вешенка, большая вешенка</t>
  </si>
  <si>
    <t>Болота Глиши</t>
  </si>
  <si>
    <t>Подберёзовик, большой Подберёзовик. Свинцовая руда, пыль веков</t>
  </si>
  <si>
    <t>Вход в Алтинову</t>
  </si>
  <si>
    <t>Лагри залив Велла</t>
  </si>
  <si>
    <t>Портовый город Эферия</t>
  </si>
  <si>
    <t>Ящик морепродуктов (сиган)</t>
  </si>
  <si>
    <t>Дом Оджи</t>
  </si>
  <si>
    <t>Южное болото</t>
  </si>
  <si>
    <t>Железная руда, грубый черный хрусталь. Подберёзовик, большой Подберёзовик. Тайное послание</t>
  </si>
  <si>
    <t>Долина Алум</t>
  </si>
  <si>
    <t>Пруд Антаци</t>
  </si>
  <si>
    <t>Сияние Антаци</t>
  </si>
  <si>
    <t>Деревня Трент</t>
  </si>
  <si>
    <t>Ящик с древесиной из Кальфеона</t>
  </si>
  <si>
    <t>Лес Энтов</t>
  </si>
  <si>
    <t>Древесина кипариса, сучок кровавого дерева</t>
  </si>
  <si>
    <t>Руины Глиши</t>
  </si>
  <si>
    <t>Чёрная земля, острый обломок шлема, затупленный осколок, порошок изначальности /охотников</t>
  </si>
  <si>
    <t>Каменный клюв</t>
  </si>
  <si>
    <t>Лес Каду</t>
  </si>
  <si>
    <t>Медвежья деревня</t>
  </si>
  <si>
    <t>Лагерь Ратамов</t>
  </si>
  <si>
    <t>Оловянная руда, грубый зеленый хрусталь</t>
  </si>
  <si>
    <t>Северные болота</t>
  </si>
  <si>
    <t>Головач, большой головач. Ящик с отборным головачом</t>
  </si>
  <si>
    <t>Лавовая пещера (скрытый)</t>
  </si>
  <si>
    <t>Цинковая руда, пыль веков, платиновая руда. Уголь, пыль разрушения, грубый рубин</t>
  </si>
  <si>
    <t>Тенистый лес</t>
  </si>
  <si>
    <t>Мшистая древесина/доска. Сок мшистого дерева</t>
  </si>
  <si>
    <t>Северное поле пшеницы</t>
  </si>
  <si>
    <r>
      <rPr>
        <rFont val="Arial"/>
        <color theme="1"/>
        <sz val="10.0"/>
      </rPr>
      <t xml:space="preserve">Перец. Пшеница. Ячмень. Ящик с отборным подсолнухом </t>
    </r>
    <r>
      <rPr>
        <rFont val="Arial"/>
        <i/>
        <color theme="1"/>
        <sz val="10.0"/>
      </rPr>
      <t>+ золотые слитки, серебро</t>
    </r>
  </si>
  <si>
    <t>Лагерь водяных</t>
  </si>
  <si>
    <t>Руины фермы Линчей (скрытый)</t>
  </si>
  <si>
    <t>Азалия. Сломаный рог, колесо телеги, тканьжилища бесов. Порошок варваров / охотников</t>
  </si>
  <si>
    <t>Гробница правителей</t>
  </si>
  <si>
    <t>Одинокий лес</t>
  </si>
  <si>
    <t>Зеленая руда, пыль веков</t>
  </si>
  <si>
    <t>Остров Лема</t>
  </si>
  <si>
    <t>Западный лес Кальфеона</t>
  </si>
  <si>
    <t>Лагерь сайджеков</t>
  </si>
  <si>
    <t>Место раскопок (Скрытый)</t>
  </si>
  <si>
    <t>Потускневший фрагмент голема, осколок украшения клана Тугу, Порошок земли / хаоса</t>
  </si>
  <si>
    <t>Горная деревня</t>
  </si>
  <si>
    <t>Клубника, хорошая клубника</t>
  </si>
  <si>
    <t>Остров Илия</t>
  </si>
  <si>
    <t>Амулет Илии</t>
  </si>
  <si>
    <t>Тёмный лес</t>
  </si>
  <si>
    <t>Древесина, сок кедра</t>
  </si>
  <si>
    <t>Сторожевая башня</t>
  </si>
  <si>
    <t>Ферма Эхто</t>
  </si>
  <si>
    <t>Хлопок, хлопокове полотно. Алоэ. Мешочек с семенами Моны.</t>
  </si>
  <si>
    <t>Горы Вельтара</t>
  </si>
  <si>
    <t>Деревня Тариффа</t>
  </si>
  <si>
    <t>Кувшин заклинателя Тариф</t>
  </si>
  <si>
    <t>Ведьмин дол</t>
  </si>
  <si>
    <t>Земли прокаженых</t>
  </si>
  <si>
    <t>Ферма Сури</t>
  </si>
  <si>
    <t>Батат, хороший батат, отборный батат. Ящик с отборным бататом</t>
  </si>
  <si>
    <t>Западный хребет Вельтара</t>
  </si>
  <si>
    <t>Деревня Абун</t>
  </si>
  <si>
    <t>Деревянная кукла Абун</t>
  </si>
  <si>
    <t>Клардбище Хексы</t>
  </si>
  <si>
    <t>Холм Квинт</t>
  </si>
  <si>
    <t>Древесина ольхи, красная почка. Свинцовая руда, пыль веков</t>
  </si>
  <si>
    <t>Ферма Касулы</t>
  </si>
  <si>
    <t>Хлопок, хлопковое полотно. Корица. Сундучок Касулы</t>
  </si>
  <si>
    <t>Лес белых ветвей</t>
  </si>
  <si>
    <t>Паучья Деревня</t>
  </si>
  <si>
    <t>Сундук с тканями</t>
  </si>
  <si>
    <t>Северная вершина Кайя</t>
  </si>
  <si>
    <t>Заражённая ферма</t>
  </si>
  <si>
    <t>Древний разлом</t>
  </si>
  <si>
    <t>Цинковая руда, пыль веков, грубый красный хрусталь. Черноголовка, пучок черноголовки.</t>
  </si>
  <si>
    <t>Озеро Флондор</t>
  </si>
  <si>
    <t>Зеленая руда, пыль притяжения</t>
  </si>
  <si>
    <t>Шакату</t>
  </si>
  <si>
    <t>Озеро Кайя</t>
  </si>
  <si>
    <t>Ферма Диас</t>
  </si>
  <si>
    <t>Ящик с отборными помидорами</t>
  </si>
  <si>
    <t>Побережье Медии</t>
  </si>
  <si>
    <t>Медная руда, пыль огня , грубый опал</t>
  </si>
  <si>
    <t>Лес Полли</t>
  </si>
  <si>
    <t>Синяк, Розовый гомпус</t>
  </si>
  <si>
    <t>Восточный базар</t>
  </si>
  <si>
    <t>Форт Саош</t>
  </si>
  <si>
    <t>Долина Эферии</t>
  </si>
  <si>
    <t>Волнушка, большая волнушка</t>
  </si>
  <si>
    <t>Перекресток</t>
  </si>
  <si>
    <t>Южная Камасильвия</t>
  </si>
  <si>
    <t>Порт Неккадо</t>
  </si>
  <si>
    <t>Логово племени Ташиа</t>
  </si>
  <si>
    <t>Ферма Коэн</t>
  </si>
  <si>
    <t>Деревня удильщиков</t>
  </si>
  <si>
    <t>Набор рыболова</t>
  </si>
  <si>
    <t>Следы Крокдаллора</t>
  </si>
  <si>
    <t>Деревня Арехаза</t>
  </si>
  <si>
    <t>Ящик с отличными кокосами</t>
  </si>
  <si>
    <t>Лагерь клана Гархат</t>
  </si>
  <si>
    <t>Ферма Бернито (скрытый)</t>
  </si>
  <si>
    <t>Заражёный клык, осколок скульптыры / артефакта, порошок битвы / леса</t>
  </si>
  <si>
    <t>Корабельная пристань</t>
  </si>
  <si>
    <t>Лесная хижина Реони</t>
  </si>
  <si>
    <t>Белый гриб, цветущий гриб</t>
  </si>
  <si>
    <t>Муикун</t>
  </si>
  <si>
    <t>Закрытая шахта / Заброшенный железный рудник (скрытый)</t>
  </si>
  <si>
    <t>Цинковая, платиновая руда, пыль веков. Железная руда, пыль тьмы, грубый черный хрусталь</t>
  </si>
  <si>
    <t>Заброшенная ферма Марни</t>
  </si>
  <si>
    <t>Вход в заброшеный железный рудник</t>
  </si>
  <si>
    <t>Лесная хижина Винни</t>
  </si>
  <si>
    <t>Вулканический гриб, зеленая тулостома</t>
  </si>
  <si>
    <t>Чаща древних мудрецов</t>
  </si>
  <si>
    <t>Пристанище безумца</t>
  </si>
  <si>
    <t>Холм Кеплан</t>
  </si>
  <si>
    <t>Сигнальный колокол</t>
  </si>
  <si>
    <t>Сад Анарос</t>
  </si>
  <si>
    <t>Обитель Альв</t>
  </si>
  <si>
    <t>Рыцарское клардбище</t>
  </si>
  <si>
    <t>Ранчо Фаарс</t>
  </si>
  <si>
    <t>Кукурузный хлеб</t>
  </si>
  <si>
    <t>Утес Хаас</t>
  </si>
  <si>
    <t>Река Огъер</t>
  </si>
  <si>
    <t>Тальболь</t>
  </si>
  <si>
    <t>Гнилой каньон</t>
  </si>
  <si>
    <t>Рубеж мертвых</t>
  </si>
  <si>
    <t>Железная руда, пыль тьмы</t>
  </si>
  <si>
    <t>Врата Алтеновы</t>
  </si>
  <si>
    <t>Серная шахта</t>
  </si>
  <si>
    <t>Рисовая деревня</t>
  </si>
  <si>
    <t>Рис / Петсай / Редька / Красная азалия / Розовая азалия</t>
  </si>
  <si>
    <t>Храм Эллик</t>
  </si>
  <si>
    <t>Древесина, сок пихты. Сучок кровавого дерева. Волнушка, большая волнушка</t>
  </si>
  <si>
    <t>Угодья Бейн</t>
  </si>
  <si>
    <t>Ящик с отборной кукурузой</t>
  </si>
  <si>
    <t>Змеиная пустошь</t>
  </si>
  <si>
    <t>Древесина/доска/сок бузины. Фисташки</t>
  </si>
  <si>
    <t>Поля Двенкруна</t>
  </si>
  <si>
    <t>Ячмень. Кукуруза</t>
  </si>
  <si>
    <t>Лагерь клана Тугу</t>
  </si>
  <si>
    <t>Ферама Оберен</t>
  </si>
  <si>
    <t>Ущелье скорби</t>
  </si>
  <si>
    <t>Древесина/доска/сок бузины.</t>
  </si>
  <si>
    <t>Каньон Карков</t>
  </si>
  <si>
    <t>Зеленая руда. Мельхиор. Цинковая руда.</t>
  </si>
  <si>
    <t>База Ратамов</t>
  </si>
  <si>
    <t>Врата Трины</t>
  </si>
  <si>
    <t>Владения Куниды</t>
  </si>
  <si>
    <t>Грязь, очищенная вода</t>
  </si>
  <si>
    <t>Могила Шерехана</t>
  </si>
  <si>
    <t>Кусок высохшего камня. Порошок памяти.</t>
  </si>
  <si>
    <t>База Сонилов</t>
  </si>
  <si>
    <t>Закрытая каменоломня</t>
  </si>
  <si>
    <t>Водопад Рейны</t>
  </si>
  <si>
    <t>Хижина Харака</t>
  </si>
  <si>
    <t>Врата (44):</t>
  </si>
  <si>
    <t>Лес Тунра</t>
  </si>
  <si>
    <t>Долина Джихаку</t>
  </si>
  <si>
    <t>Ущелье Фуркан</t>
  </si>
  <si>
    <t>Медная руда, пыль огня, грубый опал</t>
  </si>
  <si>
    <t>Застава утреннего тумана</t>
  </si>
  <si>
    <t>Западные ворота</t>
  </si>
  <si>
    <t>Забытые руины</t>
  </si>
  <si>
    <t>Окресности Кеплана</t>
  </si>
  <si>
    <t>Руины города Рун</t>
  </si>
  <si>
    <t>Ветреный пик</t>
  </si>
  <si>
    <t>Дорога к логову Бираги</t>
  </si>
  <si>
    <t>Лагерь клана Басим</t>
  </si>
  <si>
    <t>Железная руда, пыль тьмы, грубый черный хрусталь</t>
  </si>
  <si>
    <t>Ферма Джанни</t>
  </si>
  <si>
    <t>Ящик с отборной черноголовкой</t>
  </si>
  <si>
    <t>Иллирия</t>
  </si>
  <si>
    <t>Медная руда, пыль огня, грубый опал. Теф</t>
  </si>
  <si>
    <t>Алтарь Гаяка</t>
  </si>
  <si>
    <t>Перевал Хидель</t>
  </si>
  <si>
    <t>Гнездо варагонов</t>
  </si>
  <si>
    <t>Дорога в каменоломню</t>
  </si>
  <si>
    <t>Ущелье Эрос</t>
  </si>
  <si>
    <t>Ручей желаний</t>
  </si>
  <si>
    <t>Кусок магического камня. Порошок изначальности</t>
  </si>
  <si>
    <t>Сторожевой пост Хидель</t>
  </si>
  <si>
    <t>Равнина Тафтар</t>
  </si>
  <si>
    <t>Шахта Кеплана</t>
  </si>
  <si>
    <t>Уголь, пыль разрушения</t>
  </si>
  <si>
    <t>Пиплап</t>
  </si>
  <si>
    <t>Горы Гервиша</t>
  </si>
  <si>
    <t>Орляк. Календула</t>
  </si>
  <si>
    <t>Центральный лагерь стражей</t>
  </si>
  <si>
    <t>Долина змей</t>
  </si>
  <si>
    <t>Каньон Дейн</t>
  </si>
  <si>
    <t>Могила мучеников</t>
  </si>
  <si>
    <t>Кора/сок/шип кактуса. Железная руда, пыль тьмы, грубый черный хрусталь.</t>
  </si>
  <si>
    <t>Лесопилка Химута</t>
  </si>
  <si>
    <t xml:space="preserve">Древесина, доска, сок сосны. Древесина, доска, сок ольхи. </t>
  </si>
  <si>
    <t>Южный лагерь стражей</t>
  </si>
  <si>
    <t>Пустынный замок</t>
  </si>
  <si>
    <t>Распутье Тарта</t>
  </si>
  <si>
    <t>Кинамару</t>
  </si>
  <si>
    <t>Руины Тширы</t>
  </si>
  <si>
    <t>Орляк. Клевер</t>
  </si>
  <si>
    <t>Северо-западные ворота</t>
  </si>
  <si>
    <t>Ущелье разбойников</t>
  </si>
  <si>
    <t>Холм замка Кальфеон</t>
  </si>
  <si>
    <t>Ущелье Пэмбу</t>
  </si>
  <si>
    <t>Фрике</t>
  </si>
  <si>
    <t>Ферма Марака</t>
  </si>
  <si>
    <t>Кукуруза. Ячмень.</t>
  </si>
  <si>
    <t>Юго-западные ворота</t>
  </si>
  <si>
    <t>Каменный зал красногго песка</t>
  </si>
  <si>
    <t>Истоки медвежьей реки (скрытый)</t>
  </si>
  <si>
    <t>Оловянная руда, пыль притяжения</t>
  </si>
  <si>
    <t>Ущелье Айрис</t>
  </si>
  <si>
    <t>Древесина/доска/сок бузины. Мускатный орех.</t>
  </si>
  <si>
    <t>Колючий лес</t>
  </si>
  <si>
    <t>Терновая древесина / сок</t>
  </si>
  <si>
    <t>Восточная граница</t>
  </si>
  <si>
    <t>Храм полумесяца</t>
  </si>
  <si>
    <t>Финики. Титан, пыль огня, грубый фиолетовый хрусталь</t>
  </si>
  <si>
    <t>Сторожевой пост Ратамов</t>
  </si>
  <si>
    <t>Каньон Марша</t>
  </si>
  <si>
    <t>Ванадий, пыль разрушения, грубый черный хрусталь. Бадьян</t>
  </si>
  <si>
    <t>Склеп забытых мыслей</t>
  </si>
  <si>
    <t>Сгусток чистых чар. Порошок битвы</t>
  </si>
  <si>
    <t>Восточные ворота</t>
  </si>
  <si>
    <t>Долина Титума</t>
  </si>
  <si>
    <t>Фисташки. Теф. Древесина, сок, доска пальмы</t>
  </si>
  <si>
    <t>Деревня Крио</t>
  </si>
  <si>
    <t>Оазис Ивелапп</t>
  </si>
  <si>
    <t>Наксион</t>
  </si>
  <si>
    <t>Курица,яйцо</t>
  </si>
  <si>
    <t>Замок рыцарей Дельпе</t>
  </si>
  <si>
    <t>Талисман любви из красного хрусталя</t>
  </si>
  <si>
    <t>Тюрьма Пиллап</t>
  </si>
  <si>
    <t>Древо Руя (скрытый)</t>
  </si>
  <si>
    <t>Вешенка, большая вешенка. Костяное ожерелье, старый коготь, Угаснувший порошок, прошок пепла / леса</t>
  </si>
  <si>
    <t>Святилище паломников Смирение</t>
  </si>
  <si>
    <t>Веревка Талливар</t>
  </si>
  <si>
    <t>Укрепление тролей</t>
  </si>
  <si>
    <t>Серный рудник</t>
  </si>
  <si>
    <t>Сера, пыль разрушения, грубый алмаз, синяя сера</t>
  </si>
  <si>
    <t>Ферма Габино</t>
  </si>
  <si>
    <t>Ящик с отборным подсолнухом</t>
  </si>
  <si>
    <t>Святилище паломников Воздержание</t>
  </si>
  <si>
    <t>Ра Одель</t>
  </si>
  <si>
    <t>Аванпост Дельпе</t>
  </si>
  <si>
    <t>Тракт Камасильвии</t>
  </si>
  <si>
    <t>Лес Манш (скрытый)</t>
  </si>
  <si>
    <t xml:space="preserve">Древесина, сок кипариса, Старый коготь, шкура медведя, проклятый осколок, порошок пепла / вреда </t>
  </si>
  <si>
    <t>Святилище паломников Милосердие</t>
  </si>
  <si>
    <t>Порт Звездной полночи</t>
  </si>
  <si>
    <t>Сушеный остронос/колючая камбала/запрора/красный хейлин</t>
  </si>
  <si>
    <t>Отдаленный сторожевой пост</t>
  </si>
  <si>
    <t>Луг Наван</t>
  </si>
  <si>
    <t>Пещера Мари</t>
  </si>
  <si>
    <t>Древесина / сок сосны. Груздь, большой груздь</t>
  </si>
  <si>
    <t>Святилище паломников Усердие</t>
  </si>
  <si>
    <t>Крепость стальных терний</t>
  </si>
  <si>
    <t>Сторожевой пост Эферии</t>
  </si>
  <si>
    <t>Лес Маншару</t>
  </si>
  <si>
    <t>Хижина Добаро</t>
  </si>
  <si>
    <t>Святилище паломников Скромность (скрытый)</t>
  </si>
  <si>
    <t>Печать стрелка древних, порошое памяти.</t>
  </si>
  <si>
    <t>Тункута</t>
  </si>
  <si>
    <t>Блокпост моста Ольдстера</t>
  </si>
  <si>
    <t>Алтарь Вельтара</t>
  </si>
  <si>
    <t>Хижина дровосека</t>
  </si>
  <si>
    <t>Древесина кедра, волшебный листок</t>
  </si>
  <si>
    <t>Святилище паломников Целомудрие</t>
  </si>
  <si>
    <t>Граница Саллун</t>
  </si>
  <si>
    <t>Проход Марни</t>
  </si>
  <si>
    <t>Руины леса Мирумога</t>
  </si>
  <si>
    <t>Лесной сторожевой пост</t>
  </si>
  <si>
    <t>Черноголоска, пучок черноголовки. Стрела скаутов</t>
  </si>
  <si>
    <t>Святилище паломников Пост</t>
  </si>
  <si>
    <t>Святилище Бахит</t>
  </si>
  <si>
    <t>Форт Трины</t>
  </si>
  <si>
    <t>Плетеный лес</t>
  </si>
  <si>
    <t>Кольцевидная древесина, сок, доска</t>
  </si>
  <si>
    <t>Хижина Фонеля</t>
  </si>
  <si>
    <t>Древесина, сок кипариса.</t>
  </si>
  <si>
    <t>Обсерваттория</t>
  </si>
  <si>
    <t>Долина Оллуна</t>
  </si>
  <si>
    <t>Никелиевая руда, мельхиор. Пыль тьмы</t>
  </si>
  <si>
    <t>Сигнальная башня Трины</t>
  </si>
  <si>
    <t>Лес альв</t>
  </si>
  <si>
    <t>Костяное ожерелье. Порошок леса. Бетелома</t>
  </si>
  <si>
    <t>Долина медвежъей реки</t>
  </si>
  <si>
    <t xml:space="preserve">Анакреон </t>
  </si>
  <si>
    <t>Инжир</t>
  </si>
  <si>
    <t>Ферма Брейлин</t>
  </si>
  <si>
    <t>Западные ворота Серентии</t>
  </si>
  <si>
    <t>Храм Гайфирансии</t>
  </si>
  <si>
    <t>Вход в хижину Фонелли</t>
  </si>
  <si>
    <t>Гора полумесяца</t>
  </si>
  <si>
    <t>Железная руда, пыль тьмы, грубый черный хрусталь.</t>
  </si>
  <si>
    <t>Порт снабжения заставы</t>
  </si>
  <si>
    <t>Замок Кальфеона</t>
  </si>
  <si>
    <t>Пепельный лес</t>
  </si>
  <si>
    <t>Остров Фильвара</t>
  </si>
  <si>
    <t>Сушеный хек/камбала/голубой хирург/барбус ! Круглобрюшек/окунь/голубой хирург/щука</t>
  </si>
  <si>
    <t>Западное нагорье Валенсии</t>
  </si>
  <si>
    <t>Пафуакриния</t>
  </si>
  <si>
    <t>Северный порт Кайи</t>
  </si>
  <si>
    <t>Скалы Акумуса</t>
  </si>
  <si>
    <t>Железная руда, зеленая руда, грубый лазурит</t>
  </si>
  <si>
    <t>Остров Деплинхард</t>
  </si>
  <si>
    <t>Сушеная камбала/хек/голубой хирург/язь ! Круглобрюшек/дитрем/голубой хирург/окунь</t>
  </si>
  <si>
    <t>Фермарский базар</t>
  </si>
  <si>
    <t>Мускатный орех. Теф. Картина верблюда</t>
  </si>
  <si>
    <t>Забытая гора</t>
  </si>
  <si>
    <t>Заброшенный монастрырь</t>
  </si>
  <si>
    <t>Логово Камос</t>
  </si>
  <si>
    <t>Остров Фузара</t>
  </si>
  <si>
    <t>Сушеный сазан/бонит/рыба-клоун/марлин ! Плотос/корифена/бонит/нитипер</t>
  </si>
  <si>
    <t>Поля Шакату</t>
  </si>
  <si>
    <t>Бадьян. Инжир. Янтарь с инклюзом</t>
  </si>
  <si>
    <t>Пруд Салланар</t>
  </si>
  <si>
    <t>Южный порт Кайи</t>
  </si>
  <si>
    <t>Селение красных волков</t>
  </si>
  <si>
    <t>Остров Азир</t>
  </si>
  <si>
    <t>Поля Тасмана</t>
  </si>
  <si>
    <t>Теф. Ящик с зерном.</t>
  </si>
  <si>
    <t>Плантация Деллимор</t>
  </si>
  <si>
    <t>Виноград. Картофель.</t>
  </si>
  <si>
    <t>Северные врата Медии</t>
  </si>
  <si>
    <t>Звездная гробница</t>
  </si>
  <si>
    <t>Сгусток чистых чар. Порошок вреда/смерти. Медная руда, кусок меди. Раскрошившийся осколок звезды</t>
  </si>
  <si>
    <t>Остров Альхана (скрытый)</t>
  </si>
  <si>
    <t>Чертеж пушка Чиро, звездный порошок, железная руда</t>
  </si>
  <si>
    <t>Ферма Эрдаль</t>
  </si>
  <si>
    <t>Фисташки. Финики. Коробка сладкого мармелада. Кокон, шелковая нить.</t>
  </si>
  <si>
    <t>Горы разделения</t>
  </si>
  <si>
    <t>Порошок вреда, сгусток чистых чар</t>
  </si>
  <si>
    <t>Укрепление Сармы</t>
  </si>
  <si>
    <t>Остров Расиды (скрытый)</t>
  </si>
  <si>
    <t>Чертеж парус Чиро, звездный порошок, железная руда</t>
  </si>
  <si>
    <t>Платация Валенсии</t>
  </si>
  <si>
    <t>Фрике. Фисташки. Финики. Ящик с сушеными финиками.</t>
  </si>
  <si>
    <t>Тропа лезвий</t>
  </si>
  <si>
    <t>Терновая древесина/сок</t>
  </si>
  <si>
    <t>Замок Медии</t>
  </si>
  <si>
    <t>Остров Бареми</t>
  </si>
  <si>
    <t>Ферма Фохаллама</t>
  </si>
  <si>
    <t>Теф. Ящик с пустынными злаками</t>
  </si>
  <si>
    <t>Бездна бессмертия</t>
  </si>
  <si>
    <t>Скалистая застава</t>
  </si>
  <si>
    <t>Остров Войта</t>
  </si>
  <si>
    <t>Сушеный тернем/дитреция/красноперка/омуль</t>
  </si>
  <si>
    <t>Остров Шокотан</t>
  </si>
  <si>
    <t>Гнездо Ворон</t>
  </si>
  <si>
    <t>Вратат города Рун</t>
  </si>
  <si>
    <t>14 скрытых узлов Добычи (добыча при активации узла с помощью очков влияния или диалог с НПС)</t>
  </si>
  <si>
    <t>Остров Бэйрува</t>
  </si>
  <si>
    <t>Сушеная камбала/дитрем/хек/голубой хирург</t>
  </si>
  <si>
    <t>Остров Рид</t>
  </si>
  <si>
    <t>Хвост Авины</t>
  </si>
  <si>
    <t>Врата Бархана</t>
  </si>
  <si>
    <t>Святилище паломиков: Скромность</t>
  </si>
  <si>
    <t>Инфа о добыче в списке узлов по локациям ---&gt;</t>
  </si>
  <si>
    <t>Остров Тарамура</t>
  </si>
  <si>
    <t>Сушеная камбала/хек/голубой хирург ! Круглобрюшек/дитрем/хек/окунь</t>
  </si>
  <si>
    <t>Остров Есура</t>
  </si>
  <si>
    <t>Гнездо Ноуля Ветра</t>
  </si>
  <si>
    <t>Древесина / сок снежного кедра</t>
  </si>
  <si>
    <t>Замок Валенсии</t>
  </si>
  <si>
    <t>Руины фермы Линчей</t>
  </si>
  <si>
    <t>Остров Остра</t>
  </si>
  <si>
    <t>Остров Тигула</t>
  </si>
  <si>
    <t>Пояс Этерии</t>
  </si>
  <si>
    <t>Сторожевой пост Лемории</t>
  </si>
  <si>
    <t>Древо Руя</t>
  </si>
  <si>
    <t>Остров Аракиль</t>
  </si>
  <si>
    <t>Остров Силона</t>
  </si>
  <si>
    <t>Сад Маслан с Юдзу</t>
  </si>
  <si>
    <t>Юдзу</t>
  </si>
  <si>
    <t>Центральный лагерь Лемории</t>
  </si>
  <si>
    <t>Ферма Бернито</t>
  </si>
  <si>
    <t>Остров Канарис</t>
  </si>
  <si>
    <t>Остров Мадина</t>
  </si>
  <si>
    <t>Снежная застава</t>
  </si>
  <si>
    <t>Смотровая башня Лемории</t>
  </si>
  <si>
    <t>Лес Манш</t>
  </si>
  <si>
    <t>Остров Орфс</t>
  </si>
  <si>
    <t>Сушеная ставрида/плотос/корифена/барбус ! Сазан/дитрем/рыба-клоун/барбус</t>
  </si>
  <si>
    <t>Остров Каршу</t>
  </si>
  <si>
    <t>Прозрачный лёд, Кусок прозрачного льда</t>
  </si>
  <si>
    <t>Сторожевой лагерь Акер</t>
  </si>
  <si>
    <t>Истоки Медвежьей реки</t>
  </si>
  <si>
    <t>Остров Туллу</t>
  </si>
  <si>
    <t>Остров Шутра</t>
  </si>
  <si>
    <t>Молния Бронте</t>
  </si>
  <si>
    <t>Западный лагерь Акер</t>
  </si>
  <si>
    <t>Каменный зал древних</t>
  </si>
  <si>
    <t>Остров Рувиано</t>
  </si>
  <si>
    <t>Сушеная корифена/дитрем/плотос/бонит</t>
  </si>
  <si>
    <t>Остров Боат</t>
  </si>
  <si>
    <t>Лес Нефритовых звезд</t>
  </si>
  <si>
    <t>Древесина / сок снежного кедра. Грубый нефрит</t>
  </si>
  <si>
    <t>Южный лагерь Акер</t>
  </si>
  <si>
    <t>Место раскопок</t>
  </si>
  <si>
    <t>Остров Тух</t>
  </si>
  <si>
    <t>Скалы Крисил</t>
  </si>
  <si>
    <t>Сторожевой пост на гором перевале</t>
  </si>
  <si>
    <t>Древесина Ольхи, ветвь монарха</t>
  </si>
  <si>
    <t>Спорная территория Ахибов</t>
  </si>
  <si>
    <t>Закрытая шахта или Заброшенный железный рудник</t>
  </si>
  <si>
    <t>Остров Маривэйно</t>
  </si>
  <si>
    <t>Сушеный плотос/тернеция/рыба-клоун/сиган ! Плотос/сазан/бонит/сиган</t>
  </si>
  <si>
    <t>Руины стен Валенсии</t>
  </si>
  <si>
    <t>Лес Тори</t>
  </si>
  <si>
    <t>Орляк</t>
  </si>
  <si>
    <t>Застава ночных воронов</t>
  </si>
  <si>
    <t>Лавовая пещера</t>
  </si>
  <si>
    <t>Остров Фаратама</t>
  </si>
  <si>
    <t>Сушеный плотос/дитрем/язь/омуль</t>
  </si>
  <si>
    <t>Побережъе Неккадо</t>
  </si>
  <si>
    <t>Рудник Шерехана</t>
  </si>
  <si>
    <t>Грубый обсидиан. Порошок починки, кварц</t>
  </si>
  <si>
    <t>Аванпост Марчи</t>
  </si>
  <si>
    <t>Остров Альнаха</t>
  </si>
  <si>
    <t>Остров Эвето</t>
  </si>
  <si>
    <t>Остров Дейко</t>
  </si>
  <si>
    <t>Заброшенные торговые ворота</t>
  </si>
  <si>
    <t>Забытые врата</t>
  </si>
  <si>
    <t>Остров Расиды</t>
  </si>
  <si>
    <t>Остров Вальведжу</t>
  </si>
  <si>
    <t>Заброшенная переправа (ранее Паром Шакату?)</t>
  </si>
  <si>
    <t>Алтарь безмолвных молитв</t>
  </si>
  <si>
    <t>База северо-западного аванпоста Кальфеона</t>
  </si>
  <si>
    <t>Остров Веры</t>
  </si>
  <si>
    <t>Остров Марлен</t>
  </si>
  <si>
    <t>Пальмовый лес Арехаза</t>
  </si>
  <si>
    <t>Древесина/доска пальмы. Кокос.</t>
  </si>
  <si>
    <t>Холм Звиер</t>
  </si>
  <si>
    <t>Порошок смерти. Кварц. Мёд</t>
  </si>
  <si>
    <t>Ворота Нампо</t>
  </si>
  <si>
    <t>Остров Хошита</t>
  </si>
  <si>
    <t>Остров Инвонен</t>
  </si>
  <si>
    <t>Сушеный плотос/ставрила/корифена/морской черт ! Ставрида/корифена/плотос/бонит</t>
  </si>
  <si>
    <t>Центр Кантуса</t>
  </si>
  <si>
    <t>Лагерь Балакс</t>
  </si>
  <si>
    <t>Раскаленный черный минерал</t>
  </si>
  <si>
    <t>Врата тигриных скал</t>
  </si>
  <si>
    <t>Остров Анджу</t>
  </si>
  <si>
    <t>Сушеный плотос/сазан/бонит/тернеция ! Корифена/плотос/тернеция/рыба-клоун</t>
  </si>
  <si>
    <t>Пустыня Кантуса</t>
  </si>
  <si>
    <t>Дом Шарбона</t>
  </si>
  <si>
    <t>Остров Ташю</t>
  </si>
  <si>
    <t>Северные дюны</t>
  </si>
  <si>
    <t xml:space="preserve">Кора/сок/шип кактуса. </t>
  </si>
  <si>
    <t>Путь последнего паломничества</t>
  </si>
  <si>
    <t>Лисички, мешима. Пятнистый рыжик, Бамбуковый гриб</t>
  </si>
  <si>
    <t>Остров Эфдэ Рун</t>
  </si>
  <si>
    <t>Сушеная корифена/плотос/сазан/бонит</t>
  </si>
  <si>
    <t>Вулкан Габи</t>
  </si>
  <si>
    <t>Ванадий,пыль разрушения,грубый синий хрусталь. Титан,пыль огня,грубый фиолетовый хрусталь</t>
  </si>
  <si>
    <t>Деравня мечников</t>
  </si>
  <si>
    <t>Страна утра</t>
  </si>
  <si>
    <t>Малина, хурма</t>
  </si>
  <si>
    <t>Острров Эйлат</t>
  </si>
  <si>
    <t>Остров Марка</t>
  </si>
  <si>
    <t>Кратер Габи</t>
  </si>
  <si>
    <t>Титан,пыль огня,грубый фиолетовый хрусталь</t>
  </si>
  <si>
    <t>Бамбуклвый лес</t>
  </si>
  <si>
    <t>Остров Жаган</t>
  </si>
  <si>
    <t>Остров Руруба</t>
  </si>
  <si>
    <t>Сушеный плотос/рыба-клоун/тамарин/тунец</t>
  </si>
  <si>
    <t>Прибрежные скалы Габи</t>
  </si>
  <si>
    <t>Ванадий,пыль тьмы,грубый опал. Календула, пучок календулы.</t>
  </si>
  <si>
    <t>Сосновый лес</t>
  </si>
  <si>
    <t>Остров Малиул</t>
  </si>
  <si>
    <t>Остров Старэн</t>
  </si>
  <si>
    <t>Сушенный плотос/осетр/тамарин/тунец ! Корифена/сазан/окунь/коилия</t>
  </si>
  <si>
    <t>Пустошь слоновой кости</t>
  </si>
  <si>
    <t>Школа изумрудной горы</t>
  </si>
  <si>
    <t>Остров Гренада</t>
  </si>
  <si>
    <t>Сушеная летучая рыба/марлин/линь/судак. Креветка. Устрица</t>
  </si>
  <si>
    <t>Остров Рисч</t>
  </si>
  <si>
    <t>Сушенный плотос/тернеция/тамарин/тунец ! Корифена/сазан/бонит/коилия</t>
  </si>
  <si>
    <t>Утес Иверо</t>
  </si>
  <si>
    <t>Боровик,хороший боровик, отборный боровик</t>
  </si>
  <si>
    <t>Лес Токкэби</t>
  </si>
  <si>
    <t>Порошок земли / починки, Грубый прозрачный хрусталь, Таинственный порошок, Искра сияющей добродетели, Кристалл леса / гармонии</t>
  </si>
  <si>
    <t>Остров Нарвы</t>
  </si>
  <si>
    <t>Скалы Донн</t>
  </si>
  <si>
    <t>Пещера золотой свиньи</t>
  </si>
  <si>
    <t xml:space="preserve">Кристалл тени / ожесточения,  Порошок варваров, Таинственный порошок, </t>
  </si>
  <si>
    <t>Остров Альбрессо</t>
  </si>
  <si>
    <t>Сушеный остронос/скат/килька/осминог</t>
  </si>
  <si>
    <t>Остров Хакобон</t>
  </si>
  <si>
    <t>Плато Коун</t>
  </si>
  <si>
    <t>Тростник</t>
  </si>
  <si>
    <t>Деревня иссохшего леса</t>
  </si>
  <si>
    <t>Весенний край</t>
  </si>
  <si>
    <t>Древеснина / сок сосны, Орляк</t>
  </si>
  <si>
    <t>Застава красных разбойников</t>
  </si>
  <si>
    <t>Лисий перевал</t>
  </si>
  <si>
    <t>Малина, фиалка</t>
  </si>
  <si>
    <t>Лес Пари</t>
  </si>
  <si>
    <t>Тигровый цветок, древесина кедра, волшебный листок</t>
  </si>
  <si>
    <t>Тигриное нагорье</t>
  </si>
  <si>
    <t>Древесина/сок клена, кора старого дерева. Тигровый цветок.Кристалл уничтожения, порошок земли, таинственный порошок</t>
  </si>
  <si>
    <t>Остров Хеммо</t>
  </si>
  <si>
    <t>Порошок памяти, таинственный порошок</t>
  </si>
  <si>
    <t>Остров Пёкке</t>
  </si>
  <si>
    <t>Пристань Таллэ (Шахта пристани Таллэ)</t>
  </si>
  <si>
    <t>Чертеж пушка/парус/фигура/крепкая обшивка Пёкке, Звездный порошое, Таинственный порошок</t>
  </si>
  <si>
    <t>Автор гайда (и этой таблички) по добыче ресурсов на узлах и баракам для рабов в БДО - Стаффи</t>
  </si>
  <si>
    <t>Узлы Добычи (647 штук)</t>
  </si>
  <si>
    <t>Добываемый ресурс</t>
  </si>
  <si>
    <t>Золотые слитки</t>
  </si>
  <si>
    <t>Серебро</t>
  </si>
  <si>
    <t>Картофель</t>
  </si>
  <si>
    <t>Курица</t>
  </si>
  <si>
    <t>Яйцо</t>
  </si>
  <si>
    <t>Жареная курица</t>
  </si>
  <si>
    <t>Яблочный джем Пинто</t>
  </si>
  <si>
    <t>Ящик с отборным картофелем</t>
  </si>
  <si>
    <t>Календула</t>
  </si>
  <si>
    <t>Пучок календулы</t>
  </si>
  <si>
    <t>Волшебный листок</t>
  </si>
  <si>
    <t>Кукуруза</t>
  </si>
  <si>
    <t>Чертеж парус Чиро</t>
  </si>
  <si>
    <t>Звездный порошок</t>
  </si>
  <si>
    <t>Железная руда</t>
  </si>
  <si>
    <t>Сушеная корифена</t>
  </si>
  <si>
    <t>Сушеный дитрем</t>
  </si>
  <si>
    <t>Сушеный плотос</t>
  </si>
  <si>
    <t>Сушеный бонит</t>
  </si>
  <si>
    <t>Сушеная рыба клоун</t>
  </si>
  <si>
    <t>Сушеный тамарин</t>
  </si>
  <si>
    <t>Сушеный тунец</t>
  </si>
  <si>
    <t>Грубый прозрачный хрусталь</t>
  </si>
  <si>
    <t>Древесина клена</t>
  </si>
  <si>
    <t>Ветвь монарха</t>
  </si>
  <si>
    <t>Пыль огня</t>
  </si>
  <si>
    <t>Увядшие листья</t>
  </si>
  <si>
    <t>Треснуыший коготь</t>
  </si>
  <si>
    <t>Порошок земли</t>
  </si>
  <si>
    <t>Порошок починки</t>
  </si>
  <si>
    <t>Сок ясеня</t>
  </si>
  <si>
    <t>Подосиновик</t>
  </si>
  <si>
    <t>Большой подосиновик</t>
  </si>
  <si>
    <t>Боровик</t>
  </si>
  <si>
    <t>Большой боровик</t>
  </si>
  <si>
    <t>Пыль тьмы</t>
  </si>
  <si>
    <t>Виноград</t>
  </si>
  <si>
    <t>Ящик с отборным виноградом</t>
  </si>
  <si>
    <t>Олива</t>
  </si>
  <si>
    <t>Ящик с отборными оливками</t>
  </si>
  <si>
    <t>Сушеный сазан</t>
  </si>
  <si>
    <t>Сушеный Марлин</t>
  </si>
  <si>
    <t>Сушеный нитипер</t>
  </si>
  <si>
    <t>Чертеж пушка Чиро</t>
  </si>
  <si>
    <t>Сушеный тернем</t>
  </si>
  <si>
    <t>Сушеная дитреция</t>
  </si>
  <si>
    <t>Сушеная красноперка</t>
  </si>
  <si>
    <t>Сушеный омуль</t>
  </si>
  <si>
    <t>Сушеная ставрида</t>
  </si>
  <si>
    <t>Сушеный барбус</t>
  </si>
  <si>
    <t>Сушеная тернеция</t>
  </si>
  <si>
    <t>Сушеная сиган</t>
  </si>
  <si>
    <t>Сушеный сиган</t>
  </si>
  <si>
    <t>Сушеный язь</t>
  </si>
  <si>
    <t>Сушеный морской черт</t>
  </si>
  <si>
    <t>Сушеный осетр</t>
  </si>
  <si>
    <t>Сушеный окунь</t>
  </si>
  <si>
    <t>Сушеная коилия</t>
  </si>
  <si>
    <t>Чертеж фигура Чиро</t>
  </si>
  <si>
    <t>Чертеж черный ппрус Чиро</t>
  </si>
  <si>
    <t>Ящик с отборным подберезовиком</t>
  </si>
  <si>
    <t>Тыква</t>
  </si>
  <si>
    <t>Мёд</t>
  </si>
  <si>
    <t>Особый мёд Алехандро</t>
  </si>
  <si>
    <t>Пшеница</t>
  </si>
  <si>
    <t>Лён</t>
  </si>
  <si>
    <t>Льняная нить</t>
  </si>
  <si>
    <t>Ящик с отборной тыквой</t>
  </si>
  <si>
    <t>Ящик с отборной пшеницей</t>
  </si>
  <si>
    <t>Шерсть</t>
  </si>
  <si>
    <t>Шерстяная нить</t>
  </si>
  <si>
    <t>Головач</t>
  </si>
  <si>
    <t>Большой головач</t>
  </si>
  <si>
    <t>Ящик с отборным головачом</t>
  </si>
  <si>
    <t>Древенина клёна</t>
  </si>
  <si>
    <t>Сок клёна</t>
  </si>
  <si>
    <t>Древесина сосны</t>
  </si>
  <si>
    <t>Азалия</t>
  </si>
  <si>
    <t>Красная почка</t>
  </si>
  <si>
    <t>Подберёзовик</t>
  </si>
  <si>
    <t>Большой подберёзовик</t>
  </si>
  <si>
    <t>Свинцовая руда</t>
  </si>
  <si>
    <t>Пыль веков</t>
  </si>
  <si>
    <t>Грубый черный хрусталь</t>
  </si>
  <si>
    <t>Тайное послание</t>
  </si>
  <si>
    <t>Чёрная земля</t>
  </si>
  <si>
    <t>Острый обломок шлема</t>
  </si>
  <si>
    <t>Затупленный осколок</t>
  </si>
  <si>
    <t xml:space="preserve">Порошок изначальности </t>
  </si>
  <si>
    <t>Порошок охотников</t>
  </si>
  <si>
    <t>Сломаный рог</t>
  </si>
  <si>
    <t>Колесо телеги</t>
  </si>
  <si>
    <t>Ткань жилища бесов</t>
  </si>
  <si>
    <t>Порошок варваров</t>
  </si>
  <si>
    <t>Ящик трав Флорина</t>
  </si>
  <si>
    <t>Перец</t>
  </si>
  <si>
    <t>Ячмень</t>
  </si>
  <si>
    <t>Заражённый клык</t>
  </si>
  <si>
    <t>Осколок скульптуры</t>
  </si>
  <si>
    <t>Осколок артефакта</t>
  </si>
  <si>
    <t>Порошок битвы</t>
  </si>
  <si>
    <t>Порошок леса</t>
  </si>
  <si>
    <t>Древесина кипариса</t>
  </si>
  <si>
    <t>Сок кипариса</t>
  </si>
  <si>
    <t>Старый коготь</t>
  </si>
  <si>
    <t>Шкура медведя</t>
  </si>
  <si>
    <t>Проклятый осколок</t>
  </si>
  <si>
    <t>Порошок пепла</t>
  </si>
  <si>
    <t>Порошок вреда</t>
  </si>
  <si>
    <t>Черноголовка</t>
  </si>
  <si>
    <t>Пучок черноголовки</t>
  </si>
  <si>
    <t>Стрела скаутов</t>
  </si>
  <si>
    <t>Сушеный остронос</t>
  </si>
  <si>
    <t>Сушеный скат</t>
  </si>
  <si>
    <t>Сушеная килька</t>
  </si>
  <si>
    <t>Сушеный осьминог</t>
  </si>
  <si>
    <t>Сушеная летучая рыба</t>
  </si>
  <si>
    <t>Сушеный налим</t>
  </si>
  <si>
    <t>Сушеный судак</t>
  </si>
  <si>
    <t>Сушеный осминог</t>
  </si>
  <si>
    <t>Сушеный эвус</t>
  </si>
  <si>
    <t>Древесина ольхи</t>
  </si>
  <si>
    <t>Сок ольхи</t>
  </si>
  <si>
    <t>Опёнок</t>
  </si>
  <si>
    <t>Большой опёнок</t>
  </si>
  <si>
    <t>Древесина кедра</t>
  </si>
  <si>
    <t>Пыль разрушения</t>
  </si>
  <si>
    <t>Уголь</t>
  </si>
  <si>
    <t>Вешенка</t>
  </si>
  <si>
    <t>Большая вешенка</t>
  </si>
  <si>
    <t>Сучок кровавого дерева</t>
  </si>
  <si>
    <t>Оловянная руда</t>
  </si>
  <si>
    <t>Грубый зеленый хрусталь</t>
  </si>
  <si>
    <t>Сок кедра</t>
  </si>
  <si>
    <t>Сгусток чистых чар</t>
  </si>
  <si>
    <t>Порошок смерти</t>
  </si>
  <si>
    <t>Кусок меди</t>
  </si>
  <si>
    <t>Раскрошившийся осколок звезды</t>
  </si>
  <si>
    <t>Волнушка</t>
  </si>
  <si>
    <t>Большая волнушка</t>
  </si>
  <si>
    <t>Пыль притяжения</t>
  </si>
  <si>
    <t>Больная вешенка</t>
  </si>
  <si>
    <t>Костяное ожерелье</t>
  </si>
  <si>
    <t>Угаснувший порошок</t>
  </si>
  <si>
    <t>Древенина сосны</t>
  </si>
  <si>
    <t>Сок сосны</t>
  </si>
  <si>
    <t>Груздь</t>
  </si>
  <si>
    <t>Большой груздь</t>
  </si>
  <si>
    <t>Сушеный карась</t>
  </si>
  <si>
    <t>Сушеная макрель</t>
  </si>
  <si>
    <t>Сушеная скалярия</t>
  </si>
  <si>
    <t>Сушеный хек</t>
  </si>
  <si>
    <t>Сушеная камбала</t>
  </si>
  <si>
    <t>Сушеный голубой хирург</t>
  </si>
  <si>
    <t>Сушеный круглобрюшек</t>
  </si>
  <si>
    <t>Сушеная щука</t>
  </si>
  <si>
    <t>Цинковая руда</t>
  </si>
  <si>
    <t>Платиновая руда</t>
  </si>
  <si>
    <t>Грубый рубин</t>
  </si>
  <si>
    <t>Батат</t>
  </si>
  <si>
    <t>Хороший батат</t>
  </si>
  <si>
    <t>Отборный батат</t>
  </si>
  <si>
    <t>Ящик с отборным бататом</t>
  </si>
  <si>
    <t>Хлопок</t>
  </si>
  <si>
    <t>Хлопковое полотно</t>
  </si>
  <si>
    <t>Корица</t>
  </si>
  <si>
    <t>Сундучок Касулы</t>
  </si>
  <si>
    <t>Древесина пихты</t>
  </si>
  <si>
    <t>Сок пихты</t>
  </si>
  <si>
    <t>Древесина акации</t>
  </si>
  <si>
    <t>Сок акации</t>
  </si>
  <si>
    <t>Кора старого дерева</t>
  </si>
  <si>
    <t>Потусневший фрагмент голема</t>
  </si>
  <si>
    <t>Осколок украшения клана Тугу</t>
  </si>
  <si>
    <t>Порошок хаоса</t>
  </si>
  <si>
    <t>Алоэ</t>
  </si>
  <si>
    <t>Мешочек с семенами Моны</t>
  </si>
  <si>
    <t>Грубый красный хрусталь</t>
  </si>
  <si>
    <t>Грубый опал</t>
  </si>
  <si>
    <t>Финики</t>
  </si>
  <si>
    <t>Титан</t>
  </si>
  <si>
    <t>Грубый фиолетовый хрусталь</t>
  </si>
  <si>
    <t>Фисташки</t>
  </si>
  <si>
    <t>Теф</t>
  </si>
  <si>
    <t>Древесина пальмы</t>
  </si>
  <si>
    <t>Доска из пальмы</t>
  </si>
  <si>
    <t>Сок пальмы</t>
  </si>
  <si>
    <t>Сера</t>
  </si>
  <si>
    <t>Грубый алмаз</t>
  </si>
  <si>
    <t>Синяя сера</t>
  </si>
  <si>
    <t>Древесина бузины</t>
  </si>
  <si>
    <t>Доска из бузины</t>
  </si>
  <si>
    <t>Сок бузины</t>
  </si>
  <si>
    <t>Грязь</t>
  </si>
  <si>
    <t>Очищенная вода</t>
  </si>
  <si>
    <t>Кора кактуса</t>
  </si>
  <si>
    <t>Сок кактуса</t>
  </si>
  <si>
    <t>Шип кактуса</t>
  </si>
  <si>
    <t>Мускатный орех</t>
  </si>
  <si>
    <t>Ванадий</t>
  </si>
  <si>
    <t>Бадьян</t>
  </si>
  <si>
    <t>Печать стрелка древних</t>
  </si>
  <si>
    <t>Порошок памяти</t>
  </si>
  <si>
    <t>Картина верблюда</t>
  </si>
  <si>
    <t>Бадъян</t>
  </si>
  <si>
    <t>Янтарь с инклюзом</t>
  </si>
  <si>
    <t>Ящик с зерном</t>
  </si>
  <si>
    <t>Коробка сладкого мармелада</t>
  </si>
  <si>
    <t>Конон</t>
  </si>
  <si>
    <t>Шелковая нить</t>
  </si>
  <si>
    <t>Ящик с сушеными финиками</t>
  </si>
  <si>
    <t>Ящик с пустынными злаками</t>
  </si>
  <si>
    <t>Кокос</t>
  </si>
  <si>
    <t>Грубый синий хрусталь</t>
  </si>
  <si>
    <t>Хороший боровик</t>
  </si>
  <si>
    <t>Отборный боровик</t>
  </si>
  <si>
    <t>Клубника</t>
  </si>
  <si>
    <t>Хорошая клубника</t>
  </si>
  <si>
    <t>Зеленая руда</t>
  </si>
  <si>
    <t>Кольцевидная древесина</t>
  </si>
  <si>
    <t>Кольцевидная доска</t>
  </si>
  <si>
    <t>Сок кольцевидного дерева</t>
  </si>
  <si>
    <t>Бетелома</t>
  </si>
  <si>
    <t>Мшистая древесина</t>
  </si>
  <si>
    <t>Мшистая доска</t>
  </si>
  <si>
    <t>Сок мшистого дерева</t>
  </si>
  <si>
    <t>Синяк</t>
  </si>
  <si>
    <t>Розовый гомпус</t>
  </si>
  <si>
    <t>Белый гриб</t>
  </si>
  <si>
    <t>Цветущий гриб</t>
  </si>
  <si>
    <t>Вулканический гриб</t>
  </si>
  <si>
    <t>Зеленая тулостома</t>
  </si>
  <si>
    <t>Доска из кипариса</t>
  </si>
  <si>
    <t>Древесина плосковеточника</t>
  </si>
  <si>
    <t>Доска из плосковеточника</t>
  </si>
  <si>
    <t>Сок плосковеточника</t>
  </si>
  <si>
    <t>Доска из сосны</t>
  </si>
  <si>
    <t>Доска из ольхи</t>
  </si>
  <si>
    <t>Грубый лазурит</t>
  </si>
  <si>
    <t>Мельхиор</t>
  </si>
  <si>
    <t>Кусок высохшего камня</t>
  </si>
  <si>
    <t>Кусок магического камня</t>
  </si>
  <si>
    <t>Клевер</t>
  </si>
  <si>
    <t>Терновая древесина</t>
  </si>
  <si>
    <t>Терновый сок</t>
  </si>
  <si>
    <t>яйцо</t>
  </si>
  <si>
    <t>Сушеная колючая камбала</t>
  </si>
  <si>
    <t>Сушеная запора</t>
  </si>
  <si>
    <t>Сушеный красный хейлин</t>
  </si>
  <si>
    <t>Никелиевая руда</t>
  </si>
  <si>
    <t>Древесина снежного кедра</t>
  </si>
  <si>
    <t>Сок снежного кедра</t>
  </si>
  <si>
    <t>Прозрачный лёд</t>
  </si>
  <si>
    <t>Кусок прозрачного льда</t>
  </si>
  <si>
    <t>Грубый нефрит</t>
  </si>
  <si>
    <t>Грубый обсидиан</t>
  </si>
  <si>
    <t>Кварц</t>
  </si>
  <si>
    <t>Лисички</t>
  </si>
  <si>
    <t>Мешима</t>
  </si>
  <si>
    <t>Пятнистый рыжик</t>
  </si>
  <si>
    <t>Бамбуковый гриб</t>
  </si>
  <si>
    <t>Рис</t>
  </si>
  <si>
    <t>Петсай</t>
  </si>
  <si>
    <t>Редька</t>
  </si>
  <si>
    <t>Красная Азалия</t>
  </si>
  <si>
    <t>Розовая Азалия</t>
  </si>
  <si>
    <t>Малина</t>
  </si>
  <si>
    <t>Хурма</t>
  </si>
  <si>
    <t>Таинственный порошок</t>
  </si>
  <si>
    <t>Искра сияющей добродетели</t>
  </si>
  <si>
    <t>Кристалл леса</t>
  </si>
  <si>
    <t>Кристалл гармонии</t>
  </si>
  <si>
    <t>Кристалл тени</t>
  </si>
  <si>
    <t>Кристалл ожесточения</t>
  </si>
  <si>
    <t>Фиалка</t>
  </si>
  <si>
    <t>Тигровый цветок</t>
  </si>
  <si>
    <t>Сок клена</t>
  </si>
  <si>
    <t>Кристалл уничтожения</t>
  </si>
  <si>
    <t>Чертеж пушка Пёкке</t>
  </si>
  <si>
    <t>Чертеж парус Пёкке</t>
  </si>
  <si>
    <t>Чертеж фигура Пёкке</t>
  </si>
  <si>
    <t>Чертеж крепкая обшивка Пёкке</t>
  </si>
  <si>
    <t>Узлы Баленоса (38 шт.)</t>
  </si>
  <si>
    <t>Узлы Серендии (15 шт.)</t>
  </si>
  <si>
    <t>Узлы Кальфеона (46 шт.)</t>
  </si>
  <si>
    <t>Узлы Страны утра  (46 шт.)</t>
  </si>
  <si>
    <t>Узлы Медии (23 шт.)</t>
  </si>
  <si>
    <t>Узлы Валенсии (34.шт.)</t>
  </si>
  <si>
    <t>Узлы Камасильвии (11 шт.)</t>
  </si>
  <si>
    <t>Узлы Одиллиты (8 шт.)</t>
  </si>
  <si>
    <t>Узлы Дригана (11 шт.)</t>
  </si>
  <si>
    <t>Узлы Гор вечной зимы (10 шт.)</t>
  </si>
  <si>
    <t>Количество рабочих в городе = количество бараков +1</t>
  </si>
  <si>
    <t>Дом</t>
  </si>
  <si>
    <t>Следование</t>
  </si>
  <si>
    <t>Бараки</t>
  </si>
  <si>
    <t>Очки</t>
  </si>
  <si>
    <t>∑мест</t>
  </si>
  <si>
    <t>∑очк</t>
  </si>
  <si>
    <t>Цена1 бар.</t>
  </si>
  <si>
    <t>Примечание</t>
  </si>
  <si>
    <t>Кальфеон Округ</t>
  </si>
  <si>
    <t>КАЛЬФЕОН</t>
  </si>
  <si>
    <t>Ячейки</t>
  </si>
  <si>
    <t>∑яч.</t>
  </si>
  <si>
    <t>Цена1яч.</t>
  </si>
  <si>
    <t>КАМАСИЛЬВИЯ</t>
  </si>
  <si>
    <t>Оливия</t>
  </si>
  <si>
    <t>2-1</t>
  </si>
  <si>
    <t>первый</t>
  </si>
  <si>
    <t>1-1-1</t>
  </si>
  <si>
    <t>бараки 1</t>
  </si>
  <si>
    <t>1-1</t>
  </si>
  <si>
    <t>Северные ворота 4-1</t>
  </si>
  <si>
    <t>7</t>
  </si>
  <si>
    <t>Бараки 2</t>
  </si>
  <si>
    <t>2-1а</t>
  </si>
  <si>
    <t>второй</t>
  </si>
  <si>
    <t>бараки 2</t>
  </si>
  <si>
    <t>1-1-2</t>
  </si>
  <si>
    <t>1-2-1</t>
  </si>
  <si>
    <t>барак 1</t>
  </si>
  <si>
    <t>Северные ворота 4-2</t>
  </si>
  <si>
    <t>10</t>
  </si>
  <si>
    <t>Бараки 3</t>
  </si>
  <si>
    <t>2-2</t>
  </si>
  <si>
    <t>1-2</t>
  </si>
  <si>
    <t>бараки 3</t>
  </si>
  <si>
    <t>1-3-1</t>
  </si>
  <si>
    <t>третий</t>
  </si>
  <si>
    <t>Северные ворота 3</t>
  </si>
  <si>
    <t>16</t>
  </si>
  <si>
    <t>2-3</t>
  </si>
  <si>
    <t>1-4-1</t>
  </si>
  <si>
    <t>четвертый</t>
  </si>
  <si>
    <t>Северные ворота 2</t>
  </si>
  <si>
    <t>Итого бараков:</t>
  </si>
  <si>
    <t>6-1</t>
  </si>
  <si>
    <t>2-1-2</t>
  </si>
  <si>
    <t>Северные ворота 1</t>
  </si>
  <si>
    <t>6-2</t>
  </si>
  <si>
    <t>2-2-1</t>
  </si>
  <si>
    <t>Южные ворота 1</t>
  </si>
  <si>
    <t>ДРИГАН</t>
  </si>
  <si>
    <t>6-3</t>
  </si>
  <si>
    <t>2-2-2</t>
  </si>
  <si>
    <t>барак 2</t>
  </si>
  <si>
    <t>Южные ворота 2-1</t>
  </si>
  <si>
    <t>3</t>
  </si>
  <si>
    <t>7-1</t>
  </si>
  <si>
    <t>3-1</t>
  </si>
  <si>
    <t>Южные ворота 2-2</t>
  </si>
  <si>
    <t>6</t>
  </si>
  <si>
    <t>1</t>
  </si>
  <si>
    <t>3-2-1</t>
  </si>
  <si>
    <t>3-1 клад.</t>
  </si>
  <si>
    <t>Южные ворота 3</t>
  </si>
  <si>
    <t>8</t>
  </si>
  <si>
    <t>4-1-1</t>
  </si>
  <si>
    <t>Южные ворота 4-1</t>
  </si>
  <si>
    <t>11-1</t>
  </si>
  <si>
    <t>5-1-1</t>
  </si>
  <si>
    <t>Восточные ворота 1-1</t>
  </si>
  <si>
    <t>11-2</t>
  </si>
  <si>
    <t>Бараки 1</t>
  </si>
  <si>
    <t>6-1-1</t>
  </si>
  <si>
    <t>Восточные ворота 1-2</t>
  </si>
  <si>
    <t>7-1-1</t>
  </si>
  <si>
    <t>Эферия</t>
  </si>
  <si>
    <t>Восточные ворота 2</t>
  </si>
  <si>
    <t>1-3</t>
  </si>
  <si>
    <t>8-1</t>
  </si>
  <si>
    <t>Восточные ворота 3</t>
  </si>
  <si>
    <t>ОДИРАКСИЯ</t>
  </si>
  <si>
    <t>8-2-1</t>
  </si>
  <si>
    <t>Восточные ворота 4-1</t>
  </si>
  <si>
    <t>еще +1 барак за мили</t>
  </si>
  <si>
    <t>9-1</t>
  </si>
  <si>
    <t>1-2-2</t>
  </si>
  <si>
    <t>Восточные ворота 4-2</t>
  </si>
  <si>
    <t>пятый</t>
  </si>
  <si>
    <t>2</t>
  </si>
  <si>
    <t>Восточные ворота 4-3</t>
  </si>
  <si>
    <t>шестой</t>
  </si>
  <si>
    <t>4-2</t>
  </si>
  <si>
    <t>11-2-1</t>
  </si>
  <si>
    <t>Восточные ворота 7</t>
  </si>
  <si>
    <t>4</t>
  </si>
  <si>
    <t>12-1-1</t>
  </si>
  <si>
    <t>1-4-2</t>
  </si>
  <si>
    <t>Восточные ворота 8-1</t>
  </si>
  <si>
    <t>5</t>
  </si>
  <si>
    <t>13-1-1</t>
  </si>
  <si>
    <t>2-1к1</t>
  </si>
  <si>
    <t>Трущебы 1-3-1</t>
  </si>
  <si>
    <t>14-1-1</t>
  </si>
  <si>
    <t>2-1к2</t>
  </si>
  <si>
    <t>Трущебы 1-3-2</t>
  </si>
  <si>
    <t>15-1-1</t>
  </si>
  <si>
    <t>2-1-1</t>
  </si>
  <si>
    <t>Трущебы 1-4-1</t>
  </si>
  <si>
    <t>ГорыВечнойЗимы</t>
  </si>
  <si>
    <t>Примечание1</t>
  </si>
  <si>
    <t>15-1-2</t>
  </si>
  <si>
    <t>Трущебы 2-1</t>
  </si>
  <si>
    <t>Деревня Эйл</t>
  </si>
  <si>
    <t>16-1</t>
  </si>
  <si>
    <t>2-3-1</t>
  </si>
  <si>
    <t>Трущебы 2-2-1</t>
  </si>
  <si>
    <t>17-1</t>
  </si>
  <si>
    <t>2-3-2</t>
  </si>
  <si>
    <t>Трущебы 2-2-2</t>
  </si>
  <si>
    <t>1-5</t>
  </si>
  <si>
    <r>
      <rPr>
        <rFont val="Arial"/>
        <b val="0"/>
        <color rgb="FF0070C0"/>
        <sz val="10.0"/>
      </rPr>
      <t>барак</t>
    </r>
    <r>
      <rPr>
        <rFont val="Arial"/>
        <b/>
        <color rgb="FF0070C0"/>
        <sz val="10.0"/>
      </rPr>
      <t xml:space="preserve"> 2</t>
    </r>
  </si>
  <si>
    <t>17-2</t>
  </si>
  <si>
    <t>2-4-1</t>
  </si>
  <si>
    <t>Трущебы 2-3-2</t>
  </si>
  <si>
    <t>18-1-1</t>
  </si>
  <si>
    <t>2-5</t>
  </si>
  <si>
    <t>Трущебы 2-3-3</t>
  </si>
  <si>
    <t>19-1</t>
  </si>
  <si>
    <t>3-1-1</t>
  </si>
  <si>
    <t>Трущебы 3-1-1</t>
  </si>
  <si>
    <t>7-2-1</t>
  </si>
  <si>
    <t>19-2-1</t>
  </si>
  <si>
    <t>3-1-2</t>
  </si>
  <si>
    <t>Базар 7-3-1</t>
  </si>
  <si>
    <t>7-3-1</t>
  </si>
  <si>
    <t>барак 3</t>
  </si>
  <si>
    <t>19-2-2</t>
  </si>
  <si>
    <t>3-1-3</t>
  </si>
  <si>
    <t>Базар 7-4-2</t>
  </si>
  <si>
    <t>8-1-1</t>
  </si>
  <si>
    <t>19-3-1</t>
  </si>
  <si>
    <t>Базар 7-6-1</t>
  </si>
  <si>
    <t>8-1-2</t>
  </si>
  <si>
    <t>19-3-2</t>
  </si>
  <si>
    <t>3-2-2</t>
  </si>
  <si>
    <t>Базар 7-6-2</t>
  </si>
  <si>
    <t>8-1-3</t>
  </si>
  <si>
    <t>19-4-1</t>
  </si>
  <si>
    <t>3-3-1</t>
  </si>
  <si>
    <t>Базар 7-6-3</t>
  </si>
  <si>
    <t>8-1-4</t>
  </si>
  <si>
    <t>барак 5</t>
  </si>
  <si>
    <t>19-4-2</t>
  </si>
  <si>
    <t>бараки 4</t>
  </si>
  <si>
    <t>3-3-2</t>
  </si>
  <si>
    <t xml:space="preserve">Базар 1-1-2 </t>
  </si>
  <si>
    <t>Страна у тра</t>
  </si>
  <si>
    <t>9-1-1</t>
  </si>
  <si>
    <t>20-1-1</t>
  </si>
  <si>
    <t>3-4-1</t>
  </si>
  <si>
    <t>Базар 1-2-1</t>
  </si>
  <si>
    <t>Мутыль (Нампо)</t>
  </si>
  <si>
    <t>9-1-2</t>
  </si>
  <si>
    <t>20-1-2</t>
  </si>
  <si>
    <t>3-5-1</t>
  </si>
  <si>
    <t xml:space="preserve">Базар 1-3-2 </t>
  </si>
  <si>
    <t>9-2-1</t>
  </si>
  <si>
    <t>20-1-3</t>
  </si>
  <si>
    <t>3-5-2</t>
  </si>
  <si>
    <t>Базар 1-5</t>
  </si>
  <si>
    <t>9-2-2</t>
  </si>
  <si>
    <t>20-2-1</t>
  </si>
  <si>
    <t>Базар 2-1-1</t>
  </si>
  <si>
    <t>20-2-2</t>
  </si>
  <si>
    <t>Базар 2-1-2</t>
  </si>
  <si>
    <t>Базар 5-5-1</t>
  </si>
  <si>
    <t>Базар 5-5-2</t>
  </si>
  <si>
    <t>Дер.Арехаза</t>
  </si>
  <si>
    <t>1-1-3</t>
  </si>
  <si>
    <t>Студенческий квартал 2-1-1</t>
  </si>
  <si>
    <t>Глиши</t>
  </si>
  <si>
    <t>Студенческий квартал 2-2-1</t>
  </si>
  <si>
    <t>Студенческий квартал 2-4</t>
  </si>
  <si>
    <t>Студенческий квартал 2-5-1</t>
  </si>
  <si>
    <t>Северное поле пшен.</t>
  </si>
  <si>
    <t>Студенческий квартал 2-5-2</t>
  </si>
  <si>
    <t xml:space="preserve">2-2 </t>
  </si>
  <si>
    <t>Студенческий квартал 2-5-3</t>
  </si>
  <si>
    <t>Порт Никаду</t>
  </si>
  <si>
    <t>Край северных ветров</t>
  </si>
  <si>
    <t>Алтенова</t>
  </si>
  <si>
    <t>6-3-1</t>
  </si>
  <si>
    <t>4-1</t>
  </si>
  <si>
    <t>6-4</t>
  </si>
  <si>
    <t>бараки 5</t>
  </si>
  <si>
    <t>10-1</t>
  </si>
  <si>
    <t>Ранчо Фаас</t>
  </si>
  <si>
    <t>10-2</t>
  </si>
  <si>
    <t>Трент</t>
  </si>
  <si>
    <t>Паучья деревня</t>
  </si>
  <si>
    <t>Пастбище кам.пуст.</t>
  </si>
  <si>
    <t>Фермер.Базар</t>
  </si>
  <si>
    <t>Лесной сторож.пост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</si>
</sst>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37">
    <font>
      <sz val="10.0"/>
      <color rgb="FF000000"/>
      <name val="Calibri"/>
      <scheme val="minor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FF0000"/>
      <name val="Arial"/>
    </font>
    <font>
      <sz val="10.0"/>
      <color rgb="FF00B050"/>
      <name val="Arial"/>
    </font>
    <font>
      <sz val="10.0"/>
      <color rgb="FF0070C0"/>
      <name val="Arial"/>
    </font>
    <font>
      <sz val="10.0"/>
      <color rgb="FF7030A0"/>
      <name val="Arial"/>
    </font>
    <font>
      <sz val="10.0"/>
      <color rgb="FFE206E7"/>
      <name val="Arial"/>
    </font>
    <font>
      <sz val="10.0"/>
      <color rgb="FF00B0F0"/>
      <name val="Arial"/>
    </font>
    <font>
      <sz val="10.0"/>
      <color rgb="FFE36C09"/>
      <name val="Arial"/>
    </font>
    <font>
      <color theme="1"/>
      <name val="Calibri"/>
      <scheme val="minor"/>
    </font>
    <font>
      <sz val="10.0"/>
      <color rgb="FF632423"/>
      <name val="Arial"/>
    </font>
    <font>
      <b/>
      <sz val="10.0"/>
      <color rgb="FF7030A0"/>
      <name val="Arial"/>
    </font>
    <font>
      <b/>
      <sz val="10.0"/>
      <color rgb="FF0070C0"/>
      <name val="Arial"/>
    </font>
    <font>
      <b/>
      <sz val="10.0"/>
      <color rgb="FF00B050"/>
      <name val="Arial"/>
    </font>
    <font>
      <u/>
      <sz val="10.0"/>
      <color rgb="FF00B050"/>
      <name val="Arial"/>
    </font>
    <font>
      <b/>
      <sz val="10.0"/>
      <color rgb="FFE36C09"/>
      <name val="Arial"/>
    </font>
    <font>
      <b/>
      <u/>
      <sz val="10.0"/>
      <color theme="1"/>
      <name val="Arial"/>
    </font>
    <font>
      <i/>
      <sz val="10.0"/>
      <color rgb="FFE36C09"/>
      <name val="Arial"/>
    </font>
    <font>
      <strike/>
      <sz val="10.0"/>
      <color theme="1"/>
      <name val="Arial"/>
    </font>
    <font>
      <color rgb="FF7030A0"/>
      <name val="Arial"/>
    </font>
    <font>
      <b/>
      <sz val="10.0"/>
      <color rgb="FF0000FF"/>
      <name val="Arial"/>
    </font>
    <font>
      <sz val="10.0"/>
      <color rgb="FF17365D"/>
      <name val="Arial"/>
    </font>
    <font>
      <sz val="10.0"/>
      <color rgb="FF953734"/>
      <name val="Arial"/>
    </font>
    <font>
      <sz val="10.0"/>
      <color rgb="FF000000"/>
      <name val="Arial"/>
    </font>
    <font>
      <color theme="1"/>
      <name val="Arial"/>
    </font>
    <font>
      <b/>
      <u/>
      <sz val="10.0"/>
      <color rgb="FF0070C0"/>
      <name val="Arial"/>
    </font>
    <font>
      <b/>
      <u/>
      <sz val="10.0"/>
      <color rgb="FFFF0000"/>
      <name val="Arial"/>
    </font>
    <font>
      <i/>
      <sz val="10.0"/>
      <color rgb="FF0070C0"/>
      <name val="Arial"/>
    </font>
    <font>
      <b/>
      <u/>
      <sz val="10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2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3" fontId="4" numFmtId="0" xfId="0" applyBorder="1" applyFill="1" applyFont="1"/>
    <xf borderId="0" fillId="0" fontId="4" numFmtId="0" xfId="0" applyAlignment="1" applyFont="1">
      <alignment horizontal="center"/>
    </xf>
    <xf borderId="0" fillId="0" fontId="4" numFmtId="0" xfId="0" applyFont="1"/>
    <xf borderId="1" fillId="3" fontId="5" numFmtId="0" xfId="0" applyBorder="1" applyFont="1"/>
    <xf borderId="1" fillId="3" fontId="4" numFmtId="0" xfId="0" applyAlignment="1" applyBorder="1" applyFont="1">
      <alignment horizontal="center"/>
    </xf>
    <xf borderId="1" fillId="2" fontId="5" numFmtId="0" xfId="0" applyAlignment="1" applyBorder="1" applyFont="1">
      <alignment horizontal="right"/>
    </xf>
    <xf borderId="1" fillId="2" fontId="5" numFmtId="0" xfId="0" applyAlignment="1" applyBorder="1" applyFont="1">
      <alignment horizontal="center"/>
    </xf>
    <xf borderId="1" fillId="3" fontId="6" numFmtId="0" xfId="0" applyBorder="1" applyFont="1"/>
    <xf borderId="0" fillId="0" fontId="5" numFmtId="0" xfId="0" applyAlignment="1" applyFont="1">
      <alignment horizontal="center"/>
    </xf>
    <xf borderId="0" fillId="0" fontId="7" numFmtId="0" xfId="0" applyFont="1"/>
    <xf borderId="0" fillId="0" fontId="5" numFmtId="0" xfId="0" applyFont="1"/>
    <xf borderId="0" fillId="0" fontId="8" numFmtId="0" xfId="0" applyFont="1"/>
    <xf quotePrefix="1" borderId="0" fillId="0" fontId="5" numFmtId="0" xfId="0" applyFont="1"/>
    <xf borderId="1" fillId="2" fontId="5" numFmtId="0" xfId="0" applyBorder="1" applyFont="1"/>
    <xf borderId="0" fillId="0" fontId="9" numFmtId="0" xfId="0" applyFont="1"/>
    <xf borderId="0" fillId="0" fontId="3" numFmtId="0" xfId="0" applyFont="1"/>
    <xf borderId="1" fillId="2" fontId="6" numFmtId="0" xfId="0" applyBorder="1" applyFont="1"/>
    <xf borderId="0" fillId="0" fontId="10" numFmtId="0" xfId="0" applyFont="1"/>
    <xf borderId="1" fillId="2" fontId="6" numFmtId="0" xfId="0" applyAlignment="1" applyBorder="1" applyFont="1">
      <alignment horizontal="left"/>
    </xf>
    <xf borderId="0" fillId="0" fontId="11" numFmtId="0" xfId="0" applyFont="1"/>
    <xf borderId="0" fillId="0" fontId="12" numFmtId="0" xfId="0" applyFont="1"/>
    <xf borderId="1" fillId="4" fontId="5" numFmtId="0" xfId="0" applyBorder="1" applyFill="1" applyFont="1"/>
    <xf borderId="1" fillId="2" fontId="4" numFmtId="0" xfId="0" applyAlignment="1" applyBorder="1" applyFont="1">
      <alignment horizontal="right"/>
    </xf>
    <xf borderId="1" fillId="2" fontId="4" numFmtId="0" xfId="0" applyAlignment="1" applyBorder="1" applyFont="1">
      <alignment horizontal="center"/>
    </xf>
    <xf borderId="2" fillId="0" fontId="7" numFmtId="0" xfId="0" applyBorder="1" applyFont="1"/>
    <xf borderId="2" fillId="0" fontId="8" numFmtId="0" xfId="0" applyBorder="1" applyFont="1"/>
    <xf borderId="2" fillId="0" fontId="5" numFmtId="0" xfId="0" applyBorder="1" applyFont="1"/>
    <xf borderId="0" fillId="0" fontId="6" numFmtId="0" xfId="0" applyFont="1"/>
    <xf borderId="0" fillId="0" fontId="13" numFmtId="0" xfId="0" applyFont="1"/>
    <xf borderId="2" fillId="0" fontId="9" numFmtId="0" xfId="0" applyBorder="1" applyFont="1"/>
    <xf borderId="0" fillId="0" fontId="14" numFmtId="0" xfId="0" applyFont="1"/>
    <xf quotePrefix="1" borderId="0" fillId="0" fontId="15" numFmtId="0" xfId="0" applyFont="1"/>
    <xf borderId="0" fillId="0" fontId="15" numFmtId="0" xfId="0" applyFont="1"/>
    <xf borderId="2" fillId="0" fontId="3" numFmtId="0" xfId="0" applyBorder="1" applyFont="1"/>
    <xf borderId="0" fillId="0" fontId="10" numFmtId="0" xfId="0" applyAlignment="1" applyFont="1">
      <alignment readingOrder="0"/>
    </xf>
    <xf borderId="2" fillId="0" fontId="10" numFmtId="0" xfId="0" applyBorder="1" applyFont="1"/>
    <xf borderId="2" fillId="0" fontId="12" numFmtId="0" xfId="0" applyBorder="1" applyFont="1"/>
    <xf borderId="0" fillId="0" fontId="16" numFmtId="0" xfId="0" applyFont="1"/>
    <xf borderId="0" fillId="0" fontId="17" numFmtId="0" xfId="0" applyFont="1"/>
    <xf borderId="2" fillId="0" fontId="13" numFmtId="0" xfId="0" applyBorder="1" applyFont="1"/>
    <xf borderId="0" fillId="0" fontId="18" numFmtId="0" xfId="0" applyFont="1"/>
    <xf borderId="1" fillId="3" fontId="5" numFmtId="0" xfId="0" applyAlignment="1" applyBorder="1" applyFont="1">
      <alignment horizontal="center"/>
    </xf>
    <xf borderId="1" fillId="3" fontId="8" numFmtId="0" xfId="0" applyBorder="1" applyFont="1"/>
    <xf borderId="0" fillId="0" fontId="19" numFmtId="0" xfId="0" applyFont="1"/>
    <xf borderId="2" fillId="0" fontId="11" numFmtId="0" xfId="0" applyBorder="1" applyFont="1"/>
    <xf quotePrefix="1" borderId="0" fillId="0" fontId="8" numFmtId="0" xfId="0" applyFont="1"/>
    <xf quotePrefix="1" borderId="0" fillId="0" fontId="5" numFmtId="0" xfId="0" applyAlignment="1" applyFont="1">
      <alignment horizontal="left"/>
    </xf>
    <xf borderId="0" fillId="0" fontId="20" numFmtId="0" xfId="0" applyFont="1"/>
    <xf borderId="1" fillId="4" fontId="7" numFmtId="0" xfId="0" applyBorder="1" applyFont="1"/>
    <xf quotePrefix="1" borderId="1" fillId="4" fontId="5" numFmtId="0" xfId="0" applyBorder="1" applyFont="1"/>
    <xf quotePrefix="1" borderId="3" fillId="4" fontId="5" numFmtId="0" xfId="0" applyBorder="1" applyFont="1"/>
    <xf borderId="0" fillId="0" fontId="21" numFmtId="0" xfId="0" applyFont="1"/>
    <xf borderId="0" fillId="0" fontId="5" numFmtId="0" xfId="0" applyAlignment="1" applyFont="1">
      <alignment horizontal="center" vertical="center"/>
    </xf>
    <xf borderId="0" fillId="0" fontId="22" numFmtId="0" xfId="0" applyFont="1"/>
    <xf borderId="4" fillId="0" fontId="23" numFmtId="0" xfId="0" applyBorder="1" applyFont="1"/>
    <xf borderId="5" fillId="0" fontId="23" numFmtId="0" xfId="0" applyBorder="1" applyFont="1"/>
    <xf quotePrefix="1" borderId="6" fillId="0" fontId="23" numFmtId="0" xfId="0" applyBorder="1" applyFont="1"/>
    <xf quotePrefix="1" borderId="0" fillId="0" fontId="10" numFmtId="0" xfId="0" applyFont="1"/>
    <xf borderId="7" fillId="0" fontId="23" numFmtId="0" xfId="0" applyBorder="1" applyFont="1"/>
    <xf borderId="0" fillId="0" fontId="23" numFmtId="0" xfId="0" applyFont="1"/>
    <xf quotePrefix="1" borderId="8" fillId="0" fontId="23" numFmtId="0" xfId="0" applyBorder="1" applyFont="1"/>
    <xf borderId="9" fillId="0" fontId="23" numFmtId="0" xfId="0" applyBorder="1" applyFont="1"/>
    <xf borderId="10" fillId="0" fontId="23" numFmtId="0" xfId="0" applyBorder="1" applyFont="1"/>
    <xf borderId="11" fillId="0" fontId="23" numFmtId="0" xfId="0" applyBorder="1" applyFont="1"/>
    <xf borderId="0" fillId="0" fontId="5" numFmtId="0" xfId="0" applyAlignment="1" applyFont="1">
      <alignment horizontal="center" readingOrder="0"/>
    </xf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left" readingOrder="0"/>
    </xf>
    <xf borderId="0" fillId="0" fontId="26" numFmtId="0" xfId="0" applyFont="1"/>
    <xf borderId="2" fillId="0" fontId="26" numFmtId="0" xfId="0" applyBorder="1" applyFont="1"/>
    <xf borderId="0" fillId="0" fontId="27" numFmtId="0" xfId="0" applyFont="1"/>
    <xf borderId="12" fillId="0" fontId="5" numFmtId="0" xfId="0" applyBorder="1" applyFont="1"/>
    <xf borderId="13" fillId="0" fontId="14" numFmtId="0" xfId="0" applyBorder="1" applyFont="1"/>
    <xf borderId="14" fillId="0" fontId="28" numFmtId="0" xfId="0" applyBorder="1" applyFont="1"/>
    <xf borderId="15" fillId="0" fontId="5" numFmtId="0" xfId="0" applyBorder="1" applyFont="1"/>
    <xf borderId="16" fillId="0" fontId="28" numFmtId="0" xfId="0" applyBorder="1" applyFont="1"/>
    <xf borderId="0" fillId="0" fontId="29" numFmtId="0" xfId="0" applyAlignment="1" applyFont="1">
      <alignment readingOrder="0" shrinkToFit="0" vertical="bottom" wrapText="0"/>
    </xf>
    <xf borderId="16" fillId="0" fontId="29" numFmtId="0" xfId="0" applyAlignment="1" applyBorder="1" applyFont="1">
      <alignment readingOrder="0" shrinkToFit="0" vertical="bottom" wrapText="0"/>
    </xf>
    <xf borderId="17" fillId="0" fontId="5" numFmtId="0" xfId="0" applyBorder="1" applyFont="1"/>
    <xf borderId="2" fillId="0" fontId="14" numFmtId="0" xfId="0" applyBorder="1" applyFont="1"/>
    <xf borderId="18" fillId="0" fontId="29" numFmtId="0" xfId="0" applyAlignment="1" applyBorder="1" applyFont="1">
      <alignment readingOrder="0" shrinkToFit="0" vertical="bottom" wrapText="0"/>
    </xf>
    <xf borderId="0" fillId="5" fontId="4" numFmtId="0" xfId="0" applyAlignment="1" applyFill="1" applyFont="1">
      <alignment horizontal="center"/>
    </xf>
    <xf borderId="1" fillId="5" fontId="4" numFmtId="0" xfId="0" applyAlignment="1" applyBorder="1" applyFont="1">
      <alignment horizontal="center"/>
    </xf>
    <xf borderId="1" fillId="5" fontId="5" numFmtId="0" xfId="0" applyBorder="1" applyFont="1"/>
    <xf borderId="0" fillId="5" fontId="5" numFmtId="0" xfId="0" applyFont="1"/>
    <xf borderId="0" fillId="0" fontId="4" numFmtId="0" xfId="0" applyAlignment="1" applyFont="1">
      <alignment horizontal="center" readingOrder="0"/>
    </xf>
    <xf borderId="0" fillId="0" fontId="30" numFmtId="0" xfId="0" applyFont="1"/>
    <xf borderId="1" fillId="6" fontId="7" numFmtId="0" xfId="0" applyBorder="1" applyFill="1" applyFont="1"/>
    <xf borderId="1" fillId="6" fontId="5" numFmtId="0" xfId="0" applyBorder="1" applyFont="1"/>
    <xf borderId="1" fillId="5" fontId="7" numFmtId="0" xfId="0" applyBorder="1" applyFont="1"/>
    <xf borderId="0" fillId="0" fontId="4" numFmtId="0" xfId="0" applyAlignment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0" fillId="0" fontId="5" numFmtId="49" xfId="0" applyFont="1" applyNumberFormat="1"/>
    <xf borderId="16" fillId="0" fontId="5" numFmtId="0" xfId="0" applyAlignment="1" applyBorder="1" applyFont="1">
      <alignment horizontal="center" vertical="center"/>
    </xf>
    <xf borderId="0" fillId="0" fontId="5" numFmtId="2" xfId="0" applyAlignment="1" applyFont="1" applyNumberFormat="1">
      <alignment horizontal="center"/>
    </xf>
    <xf quotePrefix="1" borderId="0" fillId="0" fontId="9" numFmtId="0" xfId="0" applyAlignment="1" applyFont="1">
      <alignment horizontal="center"/>
    </xf>
    <xf borderId="0" fillId="0" fontId="5" numFmtId="0" xfId="0" applyAlignment="1" applyFont="1">
      <alignment horizontal="left" vertical="center"/>
    </xf>
    <xf borderId="0" fillId="0" fontId="5" numFmtId="49" xfId="0" applyAlignment="1" applyFont="1" applyNumberFormat="1">
      <alignment horizontal="left"/>
    </xf>
    <xf borderId="0" fillId="0" fontId="7" numFmtId="0" xfId="0" applyAlignment="1" applyFont="1">
      <alignment horizontal="center" vertical="center"/>
    </xf>
    <xf borderId="0" fillId="0" fontId="7" numFmtId="2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1" fillId="5" fontId="7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2" fillId="0" fontId="5" numFmtId="49" xfId="0" applyBorder="1" applyFont="1" applyNumberFormat="1"/>
    <xf borderId="2" fillId="0" fontId="5" numFmtId="0" xfId="0" applyAlignment="1" applyBorder="1" applyFont="1">
      <alignment horizontal="center"/>
    </xf>
    <xf borderId="2" fillId="0" fontId="7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7" numFmtId="2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 vertical="center"/>
    </xf>
    <xf borderId="2" fillId="0" fontId="5" numFmtId="49" xfId="0" applyAlignment="1" applyBorder="1" applyFont="1" applyNumberFormat="1">
      <alignment horizontal="left"/>
    </xf>
    <xf borderId="2" fillId="0" fontId="9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13" fillId="0" fontId="5" numFmtId="49" xfId="0" applyBorder="1" applyFont="1" applyNumberFormat="1"/>
    <xf borderId="13" fillId="0" fontId="5" numFmtId="0" xfId="0" applyAlignment="1" applyBorder="1" applyFont="1">
      <alignment horizontal="center"/>
    </xf>
    <xf borderId="13" fillId="0" fontId="7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7" numFmtId="2" xfId="0" applyAlignment="1" applyBorder="1" applyFont="1" applyNumberFormat="1">
      <alignment horizontal="center"/>
    </xf>
    <xf borderId="13" fillId="0" fontId="9" numFmtId="0" xfId="0" applyAlignment="1" applyBorder="1" applyFont="1">
      <alignment horizontal="center" vertical="center"/>
    </xf>
    <xf borderId="13" fillId="0" fontId="5" numFmtId="49" xfId="0" applyAlignment="1" applyBorder="1" applyFont="1" applyNumberFormat="1">
      <alignment horizontal="left"/>
    </xf>
    <xf borderId="13" fillId="0" fontId="9" numFmtId="0" xfId="0" applyAlignment="1" applyBorder="1" applyFont="1">
      <alignment horizontal="center"/>
    </xf>
    <xf quotePrefix="1" borderId="13" fillId="0" fontId="9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" fillId="5" fontId="9" numFmtId="0" xfId="0" applyBorder="1" applyFont="1"/>
    <xf borderId="13" fillId="0" fontId="5" numFmtId="0" xfId="0" applyBorder="1" applyFont="1"/>
    <xf borderId="2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5" numFmtId="49" xfId="0" applyBorder="1" applyFont="1" applyNumberFormat="1"/>
    <xf borderId="20" fillId="0" fontId="5" numFmtId="0" xfId="0" applyAlignment="1" applyBorder="1" applyFont="1">
      <alignment horizontal="center"/>
    </xf>
    <xf borderId="20" fillId="0" fontId="7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0" fillId="0" fontId="7" numFmtId="2" xfId="0" applyAlignment="1" applyBorder="1" applyFont="1" applyNumberFormat="1">
      <alignment horizontal="center"/>
    </xf>
    <xf borderId="20" fillId="0" fontId="9" numFmtId="0" xfId="0" applyAlignment="1" applyBorder="1" applyFont="1">
      <alignment horizontal="center" vertical="center"/>
    </xf>
    <xf borderId="2" fillId="0" fontId="5" numFmtId="49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/>
    </xf>
    <xf borderId="2" fillId="0" fontId="7" numFmtId="2" xfId="0" applyAlignment="1" applyBorder="1" applyFont="1" applyNumberFormat="1">
      <alignment horizontal="center" vertical="center"/>
    </xf>
    <xf borderId="20" fillId="0" fontId="5" numFmtId="49" xfId="0" applyAlignment="1" applyBorder="1" applyFont="1" applyNumberFormat="1">
      <alignment horizontal="left"/>
    </xf>
    <xf borderId="20" fillId="0" fontId="9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0" fontId="31" numFmtId="0" xfId="0" applyFont="1"/>
    <xf borderId="0" fillId="0" fontId="5" numFmtId="0" xfId="0" applyAlignment="1" applyFont="1">
      <alignment horizontal="left"/>
    </xf>
    <xf borderId="15" fillId="0" fontId="4" numFmtId="0" xfId="0" applyAlignment="1" applyBorder="1" applyFont="1">
      <alignment horizontal="center" vertical="center"/>
    </xf>
    <xf quotePrefix="1" borderId="13" fillId="0" fontId="32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/>
    </xf>
    <xf borderId="2" fillId="0" fontId="9" numFmtId="164" xfId="0" applyAlignment="1" applyBorder="1" applyFont="1" applyNumberFormat="1">
      <alignment horizontal="center"/>
    </xf>
    <xf borderId="13" fillId="0" fontId="5" numFmtId="2" xfId="0" applyAlignment="1" applyBorder="1" applyFont="1" applyNumberFormat="1">
      <alignment horizontal="center"/>
    </xf>
    <xf borderId="0" fillId="0" fontId="7" numFmtId="0" xfId="0" applyAlignment="1" applyFont="1">
      <alignment horizontal="left"/>
    </xf>
    <xf borderId="19" fillId="0" fontId="4" numFmtId="0" xfId="0" applyAlignment="1" applyBorder="1" applyFont="1">
      <alignment horizontal="center" vertical="center"/>
    </xf>
    <xf borderId="0" fillId="0" fontId="33" numFmtId="165" xfId="0" applyAlignment="1" applyFont="1" applyNumberFormat="1">
      <alignment horizontal="center" vertical="center"/>
    </xf>
    <xf borderId="14" fillId="0" fontId="34" numFmtId="0" xfId="0" applyAlignment="1" applyBorder="1" applyFont="1">
      <alignment horizontal="center" vertical="center"/>
    </xf>
    <xf borderId="13" fillId="0" fontId="9" numFmtId="164" xfId="0" applyAlignment="1" applyBorder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15" fillId="0" fontId="5" numFmtId="0" xfId="0" applyAlignment="1" applyBorder="1" applyFont="1">
      <alignment horizontal="center"/>
    </xf>
    <xf borderId="16" fillId="0" fontId="35" numFmtId="0" xfId="0" applyAlignment="1" applyBorder="1" applyFont="1">
      <alignment horizontal="center" vertical="center"/>
    </xf>
    <xf borderId="20" fillId="0" fontId="5" numFmtId="0" xfId="0" applyBorder="1" applyFont="1"/>
    <xf borderId="20" fillId="0" fontId="7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18" fillId="0" fontId="36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/>
    </xf>
    <xf quotePrefix="1" borderId="0" fillId="0" fontId="9" numFmtId="0" xfId="0" applyAlignment="1" applyFont="1">
      <alignment horizontal="center" vertical="center"/>
    </xf>
    <xf borderId="1" fillId="5" fontId="7" numFmtId="0" xfId="0" applyAlignment="1" applyBorder="1" applyFont="1">
      <alignment horizontal="center"/>
    </xf>
    <xf borderId="2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19</xdr:row>
      <xdr:rowOff>152400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3" name="Shape 3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21</xdr:col>
      <xdr:colOff>285750</xdr:colOff>
      <xdr:row>49</xdr:row>
      <xdr:rowOff>28575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4" name="Shape 4"/>
          <xdr:cNvCxnSpPr/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1343025</xdr:colOff>
      <xdr:row>3</xdr:row>
      <xdr:rowOff>9525</xdr:rowOff>
    </xdr:from>
    <xdr:ext cx="38100" cy="790575"/>
    <xdr:grpSp>
      <xdr:nvGrpSpPr>
        <xdr:cNvPr id="2" name="Shape 2"/>
        <xdr:cNvGrpSpPr/>
      </xdr:nvGrpSpPr>
      <xdr:grpSpPr>
        <a:xfrm>
          <a:off x="5346000" y="3384713"/>
          <a:ext cx="0" cy="790575"/>
          <a:chOff x="5346000" y="3384713"/>
          <a:chExt cx="0" cy="790575"/>
        </a:xfrm>
      </xdr:grpSpPr>
      <xdr:cxnSp>
        <xdr:nvCxnSpPr>
          <xdr:cNvPr id="5" name="Shape 5"/>
          <xdr:cNvCxnSpPr/>
        </xdr:nvCxnSpPr>
        <xdr:spPr>
          <a:xfrm>
            <a:off x="5346000" y="3384713"/>
            <a:ext cx="0" cy="790575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1285875</xdr:colOff>
      <xdr:row>42</xdr:row>
      <xdr:rowOff>0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6" name="Shape 6"/>
          <xdr:cNvCxnSpPr/>
        </xdr:nvCxnSpPr>
        <xdr:spPr>
          <a:xfrm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0.43"/>
    <col customWidth="1" min="3" max="3" width="19.57"/>
    <col customWidth="1" min="4" max="4" width="78.14"/>
    <col customWidth="1" min="5" max="5" width="2.43"/>
    <col customWidth="1" min="6" max="6" width="6.43"/>
    <col customWidth="1" min="7" max="7" width="59.57"/>
    <col customWidth="1" min="8" max="8" width="14.43"/>
    <col customWidth="1" min="9" max="9" width="94.43"/>
    <col customWidth="1" min="10" max="10" width="2.29"/>
    <col customWidth="1" min="11" max="11" width="8.0"/>
    <col customWidth="1" min="12" max="12" width="38.71"/>
    <col customWidth="1" min="13" max="13" width="12.43"/>
    <col customWidth="1" min="14" max="14" width="99.29"/>
    <col customWidth="1" min="15" max="15" width="3.0"/>
    <col customWidth="1" min="16" max="16" width="8.71"/>
    <col customWidth="1" min="17" max="17" width="49.0"/>
    <col customWidth="1" min="18" max="18" width="20.29"/>
    <col customWidth="1" min="19" max="19" width="88.43"/>
    <col customWidth="1" min="20" max="20" width="3.0"/>
    <col customWidth="1" min="21" max="21" width="7.71"/>
    <col customWidth="1" min="22" max="22" width="50.43"/>
    <col customWidth="1" min="23" max="23" width="26.71"/>
    <col customWidth="1" min="24" max="24" width="69.71"/>
    <col customWidth="1" min="25" max="26" width="8.71"/>
  </cols>
  <sheetData>
    <row r="1" ht="12.75" customHeight="1">
      <c r="B1" s="1" t="s">
        <v>0</v>
      </c>
      <c r="C1" s="2" t="s">
        <v>1</v>
      </c>
      <c r="D1" s="3" t="s">
        <v>2</v>
      </c>
      <c r="E1" s="4"/>
      <c r="F1" s="5" t="s">
        <v>3</v>
      </c>
      <c r="G1" s="5" t="s">
        <v>4</v>
      </c>
      <c r="H1" s="5" t="s">
        <v>5</v>
      </c>
      <c r="I1" s="6" t="s">
        <v>6</v>
      </c>
      <c r="J1" s="7"/>
      <c r="K1" s="5" t="s">
        <v>3</v>
      </c>
      <c r="L1" s="5" t="s">
        <v>7</v>
      </c>
      <c r="M1" s="5" t="s">
        <v>5</v>
      </c>
      <c r="N1" s="6" t="s">
        <v>6</v>
      </c>
      <c r="O1" s="8"/>
      <c r="P1" s="5" t="s">
        <v>3</v>
      </c>
      <c r="Q1" s="5" t="s">
        <v>8</v>
      </c>
      <c r="R1" s="5" t="s">
        <v>5</v>
      </c>
      <c r="S1" s="6" t="s">
        <v>6</v>
      </c>
      <c r="T1" s="8"/>
      <c r="U1" s="5" t="s">
        <v>3</v>
      </c>
      <c r="V1" s="5" t="s">
        <v>8</v>
      </c>
      <c r="W1" s="5" t="s">
        <v>5</v>
      </c>
      <c r="X1" s="6" t="s">
        <v>6</v>
      </c>
    </row>
    <row r="2" ht="12.75" customHeight="1">
      <c r="B2" s="9" t="s">
        <v>9</v>
      </c>
      <c r="C2" s="10">
        <v>11.0</v>
      </c>
      <c r="D2" s="3">
        <f>D24+D50+D98+I7+I79+N106+S106+X115</f>
        <v>209</v>
      </c>
      <c r="E2" s="11"/>
      <c r="F2" s="12">
        <v>1.0</v>
      </c>
      <c r="G2" s="13" t="s">
        <v>10</v>
      </c>
      <c r="H2" s="13" t="s">
        <v>11</v>
      </c>
      <c r="I2" s="14" t="s">
        <v>12</v>
      </c>
      <c r="J2" s="7"/>
      <c r="K2" s="12">
        <v>1.0</v>
      </c>
      <c r="L2" s="13" t="s">
        <v>13</v>
      </c>
      <c r="M2" s="13" t="s">
        <v>11</v>
      </c>
      <c r="N2" s="14" t="s">
        <v>14</v>
      </c>
      <c r="O2" s="7"/>
      <c r="P2" s="12">
        <v>105.0</v>
      </c>
      <c r="Q2" s="15" t="s">
        <v>15</v>
      </c>
      <c r="R2" s="15" t="s">
        <v>16</v>
      </c>
      <c r="S2" s="16" t="s">
        <v>17</v>
      </c>
      <c r="T2" s="7"/>
      <c r="U2" s="12">
        <v>209.0</v>
      </c>
      <c r="V2" s="14" t="s">
        <v>18</v>
      </c>
      <c r="W2" s="14" t="s">
        <v>19</v>
      </c>
      <c r="X2" s="16" t="s">
        <v>17</v>
      </c>
    </row>
    <row r="3" ht="12.75" customHeight="1">
      <c r="B3" s="9" t="s">
        <v>20</v>
      </c>
      <c r="C3" s="10">
        <v>23.0</v>
      </c>
      <c r="D3" s="17"/>
      <c r="E3" s="11"/>
      <c r="F3" s="12">
        <v>2.0</v>
      </c>
      <c r="G3" s="18" t="s">
        <v>21</v>
      </c>
      <c r="H3" s="18" t="s">
        <v>22</v>
      </c>
      <c r="I3" s="14" t="s">
        <v>23</v>
      </c>
      <c r="J3" s="7"/>
      <c r="K3" s="12">
        <v>2.0</v>
      </c>
      <c r="L3" s="19" t="s">
        <v>24</v>
      </c>
      <c r="M3" s="13" t="s">
        <v>11</v>
      </c>
      <c r="N3" s="14" t="s">
        <v>25</v>
      </c>
      <c r="O3" s="7"/>
      <c r="P3" s="12">
        <v>106.0</v>
      </c>
      <c r="Q3" s="15" t="s">
        <v>26</v>
      </c>
      <c r="R3" s="15" t="s">
        <v>16</v>
      </c>
      <c r="S3" s="14" t="s">
        <v>27</v>
      </c>
      <c r="T3" s="7"/>
      <c r="U3" s="12">
        <v>210.0</v>
      </c>
      <c r="V3" s="14" t="s">
        <v>28</v>
      </c>
      <c r="W3" s="14" t="s">
        <v>19</v>
      </c>
      <c r="X3" s="16" t="s">
        <v>17</v>
      </c>
    </row>
    <row r="4" ht="12.75" customHeight="1">
      <c r="B4" s="9" t="s">
        <v>29</v>
      </c>
      <c r="C4" s="10">
        <v>44.0</v>
      </c>
      <c r="D4" s="20" t="s">
        <v>30</v>
      </c>
      <c r="E4" s="11"/>
      <c r="F4" s="12">
        <v>3.0</v>
      </c>
      <c r="G4" s="21" t="s">
        <v>31</v>
      </c>
      <c r="H4" s="21" t="s">
        <v>32</v>
      </c>
      <c r="I4" s="14" t="s">
        <v>33</v>
      </c>
      <c r="J4" s="7"/>
      <c r="K4" s="12">
        <v>3.0</v>
      </c>
      <c r="L4" s="13" t="s">
        <v>34</v>
      </c>
      <c r="M4" s="13" t="s">
        <v>11</v>
      </c>
      <c r="N4" s="14" t="s">
        <v>35</v>
      </c>
      <c r="O4" s="7"/>
      <c r="P4" s="12">
        <v>107.0</v>
      </c>
      <c r="Q4" s="15" t="s">
        <v>36</v>
      </c>
      <c r="R4" s="15" t="s">
        <v>16</v>
      </c>
      <c r="S4" s="14" t="s">
        <v>37</v>
      </c>
      <c r="T4" s="7"/>
      <c r="U4" s="12">
        <v>211.0</v>
      </c>
      <c r="V4" s="14" t="s">
        <v>38</v>
      </c>
      <c r="W4" s="14" t="s">
        <v>19</v>
      </c>
      <c r="X4" s="16" t="s">
        <v>17</v>
      </c>
    </row>
    <row r="5" ht="12.75" customHeight="1">
      <c r="B5" s="9" t="s">
        <v>39</v>
      </c>
      <c r="C5" s="10">
        <v>5.0</v>
      </c>
      <c r="D5" s="22">
        <f>'Баленос-Серендия'!B42+'Баленос-Серендия'!E19+'Кальфеон - СтранаУтра'!B50+'Кальфеон - СтранаУтра'!E17+'Медия-Валенсия'!B27+'Медия-Валенсия'!E38+'Кама-Дриган-Одилита-Горы'!B15+'Кама-Дриган-Одилита-Горы'!B31+'Кама-Дриган-Одилита-Горы'!E12+'Кама-Дриган-Одилита-Горы'!E30</f>
        <v>209</v>
      </c>
      <c r="E5" s="11"/>
      <c r="F5" s="12">
        <v>4.0</v>
      </c>
      <c r="G5" s="23" t="s">
        <v>40</v>
      </c>
      <c r="H5" s="23" t="s">
        <v>41</v>
      </c>
      <c r="I5" s="14" t="s">
        <v>42</v>
      </c>
      <c r="J5" s="7"/>
      <c r="K5" s="12">
        <v>4.0</v>
      </c>
      <c r="L5" s="13" t="s">
        <v>43</v>
      </c>
      <c r="M5" s="13" t="s">
        <v>11</v>
      </c>
      <c r="N5" s="14" t="s">
        <v>44</v>
      </c>
      <c r="O5" s="7"/>
      <c r="P5" s="12">
        <v>108.0</v>
      </c>
      <c r="Q5" s="15" t="s">
        <v>45</v>
      </c>
      <c r="R5" s="15" t="s">
        <v>16</v>
      </c>
      <c r="S5" s="14" t="s">
        <v>46</v>
      </c>
      <c r="T5" s="7"/>
      <c r="U5" s="12">
        <v>212.0</v>
      </c>
      <c r="V5" s="14" t="s">
        <v>47</v>
      </c>
      <c r="W5" s="14" t="s">
        <v>19</v>
      </c>
      <c r="X5" s="16" t="s">
        <v>17</v>
      </c>
    </row>
    <row r="6" ht="12.75" customHeight="1">
      <c r="B6" s="9" t="s">
        <v>48</v>
      </c>
      <c r="C6" s="10">
        <v>68.0</v>
      </c>
      <c r="D6" s="17"/>
      <c r="E6" s="11"/>
      <c r="F6" s="12">
        <v>5.0</v>
      </c>
      <c r="G6" s="24" t="s">
        <v>49</v>
      </c>
      <c r="H6" s="24" t="s">
        <v>50</v>
      </c>
      <c r="I6" s="16" t="s">
        <v>17</v>
      </c>
      <c r="J6" s="7"/>
      <c r="K6" s="12">
        <v>5.0</v>
      </c>
      <c r="L6" s="13" t="s">
        <v>51</v>
      </c>
      <c r="M6" s="13" t="s">
        <v>11</v>
      </c>
      <c r="N6" s="14" t="s">
        <v>52</v>
      </c>
      <c r="O6" s="7"/>
      <c r="P6" s="12">
        <v>109.0</v>
      </c>
      <c r="Q6" s="15" t="s">
        <v>53</v>
      </c>
      <c r="R6" s="15" t="s">
        <v>16</v>
      </c>
      <c r="S6" s="14" t="s">
        <v>54</v>
      </c>
      <c r="T6" s="7"/>
      <c r="U6" s="12">
        <v>213.0</v>
      </c>
      <c r="V6" s="14" t="s">
        <v>55</v>
      </c>
      <c r="W6" s="14" t="s">
        <v>19</v>
      </c>
      <c r="X6" s="16" t="s">
        <v>17</v>
      </c>
    </row>
    <row r="7" ht="12.75" customHeight="1">
      <c r="B7" s="9" t="s">
        <v>56</v>
      </c>
      <c r="C7" s="10">
        <v>320.0</v>
      </c>
      <c r="D7" s="17"/>
      <c r="E7" s="7"/>
      <c r="I7" s="5">
        <f>F6-COUNTIF(I2:I6,"---")</f>
        <v>4</v>
      </c>
      <c r="J7" s="7"/>
      <c r="K7" s="12">
        <v>6.0</v>
      </c>
      <c r="L7" s="13" t="s">
        <v>57</v>
      </c>
      <c r="M7" s="13" t="s">
        <v>11</v>
      </c>
      <c r="N7" s="14" t="s">
        <v>58</v>
      </c>
      <c r="O7" s="7"/>
      <c r="P7" s="12">
        <v>110.0</v>
      </c>
      <c r="Q7" s="15" t="s">
        <v>59</v>
      </c>
      <c r="R7" s="15" t="s">
        <v>16</v>
      </c>
      <c r="S7" s="14" t="s">
        <v>60</v>
      </c>
      <c r="T7" s="7"/>
      <c r="U7" s="12">
        <v>214.0</v>
      </c>
      <c r="V7" s="25" t="s">
        <v>61</v>
      </c>
      <c r="W7" s="14" t="s">
        <v>19</v>
      </c>
      <c r="X7" s="16" t="s">
        <v>17</v>
      </c>
    </row>
    <row r="8" ht="12.75" customHeight="1">
      <c r="B8" s="26" t="s">
        <v>62</v>
      </c>
      <c r="C8" s="27">
        <f>SUM(C2:C7)</f>
        <v>471</v>
      </c>
      <c r="D8" s="17"/>
      <c r="E8" s="11"/>
      <c r="F8" s="7"/>
      <c r="G8" s="7"/>
      <c r="H8" s="7"/>
      <c r="I8" s="7"/>
      <c r="J8" s="7"/>
      <c r="K8" s="12">
        <v>7.0</v>
      </c>
      <c r="L8" s="13" t="s">
        <v>63</v>
      </c>
      <c r="M8" s="13" t="s">
        <v>11</v>
      </c>
      <c r="N8" s="14" t="s">
        <v>64</v>
      </c>
      <c r="O8" s="7"/>
      <c r="P8" s="12">
        <v>111.0</v>
      </c>
      <c r="Q8" s="15" t="s">
        <v>65</v>
      </c>
      <c r="R8" s="15" t="s">
        <v>16</v>
      </c>
      <c r="S8" s="14" t="s">
        <v>66</v>
      </c>
      <c r="T8" s="7"/>
      <c r="U8" s="12">
        <v>215.0</v>
      </c>
      <c r="V8" s="14" t="s">
        <v>67</v>
      </c>
      <c r="W8" s="14" t="s">
        <v>19</v>
      </c>
      <c r="X8" s="16" t="s">
        <v>17</v>
      </c>
    </row>
    <row r="9" ht="12.75" customHeight="1">
      <c r="D9" s="14"/>
      <c r="E9" s="7"/>
      <c r="J9" s="7"/>
      <c r="K9" s="12">
        <v>8.0</v>
      </c>
      <c r="L9" s="28" t="s">
        <v>68</v>
      </c>
      <c r="M9" s="28" t="s">
        <v>11</v>
      </c>
      <c r="N9" s="14" t="s">
        <v>69</v>
      </c>
      <c r="O9" s="7"/>
      <c r="P9" s="12">
        <v>112.0</v>
      </c>
      <c r="Q9" s="29" t="s">
        <v>70</v>
      </c>
      <c r="R9" s="29" t="s">
        <v>16</v>
      </c>
      <c r="S9" s="14" t="s">
        <v>71</v>
      </c>
      <c r="T9" s="7"/>
      <c r="U9" s="12">
        <v>216.0</v>
      </c>
      <c r="V9" s="30" t="s">
        <v>72</v>
      </c>
      <c r="W9" s="30" t="s">
        <v>19</v>
      </c>
      <c r="X9" s="16" t="s">
        <v>17</v>
      </c>
    </row>
    <row r="10" ht="12.75" customHeight="1">
      <c r="E10" s="7"/>
      <c r="F10" s="5" t="s">
        <v>3</v>
      </c>
      <c r="G10" s="5" t="s">
        <v>73</v>
      </c>
      <c r="H10" s="5" t="s">
        <v>5</v>
      </c>
      <c r="I10" s="6" t="s">
        <v>6</v>
      </c>
      <c r="J10" s="7"/>
      <c r="K10" s="12">
        <v>9.0</v>
      </c>
      <c r="L10" s="13" t="s">
        <v>74</v>
      </c>
      <c r="M10" s="13" t="s">
        <v>11</v>
      </c>
      <c r="N10" s="14" t="s">
        <v>75</v>
      </c>
      <c r="O10" s="7"/>
      <c r="P10" s="12">
        <v>113.0</v>
      </c>
      <c r="Q10" s="15" t="s">
        <v>76</v>
      </c>
      <c r="R10" s="15" t="s">
        <v>16</v>
      </c>
      <c r="S10" s="14" t="s">
        <v>77</v>
      </c>
      <c r="T10" s="7"/>
      <c r="U10" s="12">
        <v>217.0</v>
      </c>
      <c r="V10" s="14" t="s">
        <v>78</v>
      </c>
      <c r="W10" s="14" t="s">
        <v>19</v>
      </c>
      <c r="X10" s="16" t="s">
        <v>17</v>
      </c>
    </row>
    <row r="11" ht="12.75" customHeight="1">
      <c r="E11" s="4"/>
      <c r="F11" s="12">
        <v>1.0</v>
      </c>
      <c r="G11" s="13" t="s">
        <v>79</v>
      </c>
      <c r="H11" s="13" t="s">
        <v>11</v>
      </c>
      <c r="I11" s="16" t="s">
        <v>17</v>
      </c>
      <c r="J11" s="7"/>
      <c r="K11" s="12">
        <v>10.0</v>
      </c>
      <c r="L11" s="13" t="s">
        <v>80</v>
      </c>
      <c r="M11" s="13" t="s">
        <v>11</v>
      </c>
      <c r="N11" s="14" t="s">
        <v>81</v>
      </c>
      <c r="O11" s="7"/>
      <c r="P11" s="12">
        <v>114.0</v>
      </c>
      <c r="Q11" s="15" t="s">
        <v>82</v>
      </c>
      <c r="R11" s="15" t="s">
        <v>16</v>
      </c>
      <c r="S11" s="16" t="s">
        <v>17</v>
      </c>
      <c r="T11" s="7"/>
      <c r="U11" s="12">
        <v>218.0</v>
      </c>
      <c r="V11" s="14" t="s">
        <v>83</v>
      </c>
      <c r="W11" s="14" t="s">
        <v>19</v>
      </c>
      <c r="X11" s="16" t="s">
        <v>17</v>
      </c>
    </row>
    <row r="12" ht="12.75" customHeight="1">
      <c r="A12" s="5" t="s">
        <v>3</v>
      </c>
      <c r="B12" s="5" t="s">
        <v>84</v>
      </c>
      <c r="C12" s="5" t="s">
        <v>5</v>
      </c>
      <c r="D12" s="6" t="s">
        <v>6</v>
      </c>
      <c r="E12" s="7"/>
      <c r="F12" s="12">
        <v>2.0</v>
      </c>
      <c r="G12" s="13" t="s">
        <v>85</v>
      </c>
      <c r="H12" s="13" t="s">
        <v>11</v>
      </c>
      <c r="I12" s="14" t="s">
        <v>86</v>
      </c>
      <c r="J12" s="7"/>
      <c r="K12" s="12">
        <v>11.0</v>
      </c>
      <c r="L12" s="13" t="s">
        <v>87</v>
      </c>
      <c r="M12" s="13" t="s">
        <v>11</v>
      </c>
      <c r="N12" s="14" t="s">
        <v>88</v>
      </c>
      <c r="O12" s="7"/>
      <c r="P12" s="12">
        <v>115.0</v>
      </c>
      <c r="Q12" s="15" t="s">
        <v>89</v>
      </c>
      <c r="R12" s="15" t="s">
        <v>16</v>
      </c>
      <c r="S12" s="14" t="s">
        <v>90</v>
      </c>
      <c r="T12" s="7"/>
      <c r="U12" s="12">
        <v>219.0</v>
      </c>
      <c r="V12" s="14" t="s">
        <v>91</v>
      </c>
      <c r="W12" s="14" t="s">
        <v>19</v>
      </c>
      <c r="X12" s="16" t="s">
        <v>17</v>
      </c>
    </row>
    <row r="13" ht="12.75" customHeight="1">
      <c r="A13" s="12">
        <v>1.0</v>
      </c>
      <c r="B13" s="13" t="s">
        <v>92</v>
      </c>
      <c r="C13" s="13" t="s">
        <v>11</v>
      </c>
      <c r="D13" s="31" t="s">
        <v>93</v>
      </c>
      <c r="E13" s="7"/>
      <c r="F13" s="12">
        <v>3.0</v>
      </c>
      <c r="G13" s="13" t="s">
        <v>94</v>
      </c>
      <c r="H13" s="13" t="s">
        <v>11</v>
      </c>
      <c r="I13" s="14" t="s">
        <v>95</v>
      </c>
      <c r="J13" s="7"/>
      <c r="K13" s="12">
        <v>12.0</v>
      </c>
      <c r="L13" s="13" t="s">
        <v>96</v>
      </c>
      <c r="M13" s="13" t="s">
        <v>11</v>
      </c>
      <c r="N13" s="16" t="s">
        <v>17</v>
      </c>
      <c r="O13" s="7"/>
      <c r="P13" s="12">
        <v>116.0</v>
      </c>
      <c r="Q13" s="15" t="s">
        <v>97</v>
      </c>
      <c r="R13" s="15" t="s">
        <v>16</v>
      </c>
      <c r="S13" s="16" t="s">
        <v>17</v>
      </c>
      <c r="T13" s="7"/>
      <c r="U13" s="12">
        <v>220.0</v>
      </c>
      <c r="V13" s="14" t="s">
        <v>98</v>
      </c>
      <c r="W13" s="14" t="s">
        <v>19</v>
      </c>
      <c r="X13" s="16" t="s">
        <v>17</v>
      </c>
    </row>
    <row r="14" ht="12.75" customHeight="1">
      <c r="A14" s="12">
        <v>2.0</v>
      </c>
      <c r="B14" s="18" t="s">
        <v>99</v>
      </c>
      <c r="C14" s="18" t="s">
        <v>22</v>
      </c>
      <c r="D14" s="31" t="s">
        <v>93</v>
      </c>
      <c r="E14" s="7"/>
      <c r="F14" s="12">
        <v>4.0</v>
      </c>
      <c r="G14" s="18" t="s">
        <v>100</v>
      </c>
      <c r="H14" s="18" t="s">
        <v>22</v>
      </c>
      <c r="I14" s="14" t="s">
        <v>101</v>
      </c>
      <c r="J14" s="7"/>
      <c r="K14" s="12">
        <v>13.0</v>
      </c>
      <c r="L14" s="13" t="s">
        <v>102</v>
      </c>
      <c r="M14" s="13" t="s">
        <v>11</v>
      </c>
      <c r="N14" s="14" t="s">
        <v>103</v>
      </c>
      <c r="O14" s="7"/>
      <c r="P14" s="12">
        <v>117.0</v>
      </c>
      <c r="Q14" s="15" t="s">
        <v>104</v>
      </c>
      <c r="R14" s="15" t="s">
        <v>16</v>
      </c>
      <c r="S14" s="16" t="s">
        <v>17</v>
      </c>
      <c r="T14" s="7"/>
      <c r="U14" s="12">
        <v>221.0</v>
      </c>
      <c r="V14" s="14" t="s">
        <v>105</v>
      </c>
      <c r="W14" s="14" t="s">
        <v>19</v>
      </c>
      <c r="X14" s="16" t="s">
        <v>17</v>
      </c>
    </row>
    <row r="15" ht="12.75" customHeight="1">
      <c r="A15" s="12">
        <v>3.0</v>
      </c>
      <c r="B15" s="15" t="s">
        <v>16</v>
      </c>
      <c r="C15" s="15" t="s">
        <v>16</v>
      </c>
      <c r="D15" s="31" t="s">
        <v>93</v>
      </c>
      <c r="E15" s="11"/>
      <c r="F15" s="12">
        <v>5.0</v>
      </c>
      <c r="G15" s="18" t="s">
        <v>106</v>
      </c>
      <c r="H15" s="18" t="s">
        <v>22</v>
      </c>
      <c r="I15" s="16" t="s">
        <v>17</v>
      </c>
      <c r="J15" s="7"/>
      <c r="K15" s="12">
        <v>14.0</v>
      </c>
      <c r="L15" s="13" t="s">
        <v>107</v>
      </c>
      <c r="M15" s="13" t="s">
        <v>11</v>
      </c>
      <c r="N15" s="16" t="s">
        <v>17</v>
      </c>
      <c r="O15" s="7"/>
      <c r="P15" s="12">
        <v>118.0</v>
      </c>
      <c r="Q15" s="15" t="s">
        <v>108</v>
      </c>
      <c r="R15" s="15" t="s">
        <v>16</v>
      </c>
      <c r="S15" s="16" t="s">
        <v>17</v>
      </c>
      <c r="T15" s="7"/>
      <c r="U15" s="12">
        <v>222.0</v>
      </c>
      <c r="V15" s="14" t="s">
        <v>109</v>
      </c>
      <c r="W15" s="14" t="s">
        <v>19</v>
      </c>
      <c r="X15" s="16" t="s">
        <v>17</v>
      </c>
    </row>
    <row r="16" ht="12.75" customHeight="1">
      <c r="A16" s="12">
        <v>4.0</v>
      </c>
      <c r="B16" s="21" t="s">
        <v>110</v>
      </c>
      <c r="C16" s="21" t="s">
        <v>32</v>
      </c>
      <c r="D16" s="31" t="s">
        <v>93</v>
      </c>
      <c r="E16" s="11"/>
      <c r="F16" s="12">
        <v>6.0</v>
      </c>
      <c r="G16" s="18" t="s">
        <v>111</v>
      </c>
      <c r="H16" s="18" t="s">
        <v>22</v>
      </c>
      <c r="I16" s="16" t="s">
        <v>112</v>
      </c>
      <c r="J16" s="7"/>
      <c r="K16" s="12">
        <v>15.0</v>
      </c>
      <c r="L16" s="13" t="s">
        <v>113</v>
      </c>
      <c r="M16" s="13" t="s">
        <v>11</v>
      </c>
      <c r="N16" s="16" t="s">
        <v>17</v>
      </c>
      <c r="O16" s="7"/>
      <c r="P16" s="12">
        <v>119.0</v>
      </c>
      <c r="Q16" s="15" t="s">
        <v>114</v>
      </c>
      <c r="R16" s="15" t="s">
        <v>16</v>
      </c>
      <c r="S16" s="14" t="s">
        <v>46</v>
      </c>
      <c r="T16" s="7"/>
      <c r="U16" s="12">
        <v>223.0</v>
      </c>
      <c r="V16" s="14" t="s">
        <v>115</v>
      </c>
      <c r="W16" s="14" t="s">
        <v>19</v>
      </c>
      <c r="X16" s="16" t="s">
        <v>17</v>
      </c>
    </row>
    <row r="17" ht="12.75" customHeight="1">
      <c r="A17" s="12">
        <v>5.0</v>
      </c>
      <c r="B17" s="32" t="s">
        <v>116</v>
      </c>
      <c r="C17" s="32" t="s">
        <v>116</v>
      </c>
      <c r="D17" s="31" t="s">
        <v>93</v>
      </c>
      <c r="E17" s="7"/>
      <c r="F17" s="12">
        <v>7.0</v>
      </c>
      <c r="G17" s="18" t="s">
        <v>117</v>
      </c>
      <c r="H17" s="18" t="s">
        <v>22</v>
      </c>
      <c r="I17" s="16" t="s">
        <v>17</v>
      </c>
      <c r="J17" s="7"/>
      <c r="K17" s="12">
        <v>16.0</v>
      </c>
      <c r="L17" s="28" t="s">
        <v>118</v>
      </c>
      <c r="M17" s="28" t="s">
        <v>11</v>
      </c>
      <c r="N17" s="14" t="s">
        <v>119</v>
      </c>
      <c r="O17" s="7"/>
      <c r="P17" s="12">
        <v>120.0</v>
      </c>
      <c r="Q17" s="29" t="s">
        <v>120</v>
      </c>
      <c r="R17" s="29" t="s">
        <v>16</v>
      </c>
      <c r="S17" s="16" t="s">
        <v>17</v>
      </c>
      <c r="T17" s="7"/>
      <c r="U17" s="12">
        <v>224.0</v>
      </c>
      <c r="V17" s="30" t="s">
        <v>121</v>
      </c>
      <c r="W17" s="30" t="s">
        <v>19</v>
      </c>
      <c r="X17" s="16" t="s">
        <v>17</v>
      </c>
    </row>
    <row r="18" ht="12.75" customHeight="1">
      <c r="A18" s="12">
        <v>6.0</v>
      </c>
      <c r="B18" s="24" t="s">
        <v>122</v>
      </c>
      <c r="C18" s="24" t="s">
        <v>50</v>
      </c>
      <c r="D18" s="16" t="s">
        <v>123</v>
      </c>
      <c r="E18" s="11"/>
      <c r="F18" s="12">
        <v>8.0</v>
      </c>
      <c r="G18" s="33" t="s">
        <v>124</v>
      </c>
      <c r="H18" s="33" t="s">
        <v>22</v>
      </c>
      <c r="I18" s="16" t="s">
        <v>17</v>
      </c>
      <c r="J18" s="7"/>
      <c r="K18" s="12">
        <v>17.0</v>
      </c>
      <c r="L18" s="13" t="s">
        <v>125</v>
      </c>
      <c r="M18" s="13" t="s">
        <v>11</v>
      </c>
      <c r="N18" s="14" t="s">
        <v>126</v>
      </c>
      <c r="O18" s="7"/>
      <c r="P18" s="12">
        <v>121.0</v>
      </c>
      <c r="Q18" s="15" t="s">
        <v>127</v>
      </c>
      <c r="R18" s="15" t="s">
        <v>16</v>
      </c>
      <c r="S18" s="16" t="s">
        <v>17</v>
      </c>
      <c r="T18" s="7"/>
      <c r="U18" s="12">
        <v>225.0</v>
      </c>
      <c r="V18" s="14" t="s">
        <v>128</v>
      </c>
      <c r="W18" s="14" t="s">
        <v>19</v>
      </c>
      <c r="X18" s="16" t="s">
        <v>17</v>
      </c>
    </row>
    <row r="19" ht="12.75" customHeight="1">
      <c r="A19" s="12">
        <v>7.0</v>
      </c>
      <c r="B19" s="23" t="s">
        <v>129</v>
      </c>
      <c r="C19" s="23" t="s">
        <v>41</v>
      </c>
      <c r="D19" s="31" t="s">
        <v>93</v>
      </c>
      <c r="E19" s="7"/>
      <c r="F19" s="12">
        <v>9.0</v>
      </c>
      <c r="G19" s="18" t="s">
        <v>130</v>
      </c>
      <c r="H19" s="18" t="s">
        <v>22</v>
      </c>
      <c r="I19" s="16" t="s">
        <v>17</v>
      </c>
      <c r="J19" s="7"/>
      <c r="K19" s="12">
        <v>18.0</v>
      </c>
      <c r="L19" s="13" t="s">
        <v>131</v>
      </c>
      <c r="M19" s="13" t="s">
        <v>11</v>
      </c>
      <c r="N19" s="14" t="s">
        <v>132</v>
      </c>
      <c r="O19" s="7"/>
      <c r="P19" s="12">
        <v>122.0</v>
      </c>
      <c r="Q19" s="15" t="s">
        <v>133</v>
      </c>
      <c r="R19" s="15" t="s">
        <v>16</v>
      </c>
      <c r="S19" s="16" t="s">
        <v>17</v>
      </c>
      <c r="T19" s="7"/>
      <c r="U19" s="12">
        <v>226.0</v>
      </c>
      <c r="V19" s="14" t="s">
        <v>134</v>
      </c>
      <c r="W19" s="14" t="s">
        <v>19</v>
      </c>
      <c r="X19" s="16" t="s">
        <v>17</v>
      </c>
    </row>
    <row r="20" ht="12.75" customHeight="1">
      <c r="A20" s="12">
        <v>8.0</v>
      </c>
      <c r="B20" s="14" t="s">
        <v>135</v>
      </c>
      <c r="C20" s="14" t="s">
        <v>136</v>
      </c>
      <c r="D20" s="16" t="s">
        <v>17</v>
      </c>
      <c r="E20" s="7"/>
      <c r="F20" s="12">
        <v>10.0</v>
      </c>
      <c r="G20" s="15" t="s">
        <v>137</v>
      </c>
      <c r="H20" s="15" t="s">
        <v>16</v>
      </c>
      <c r="I20" s="14" t="s">
        <v>138</v>
      </c>
      <c r="J20" s="7"/>
      <c r="K20" s="12">
        <v>19.0</v>
      </c>
      <c r="L20" s="13" t="s">
        <v>139</v>
      </c>
      <c r="M20" s="13" t="s">
        <v>11</v>
      </c>
      <c r="N20" s="16" t="s">
        <v>17</v>
      </c>
      <c r="O20" s="7"/>
      <c r="P20" s="12">
        <v>123.0</v>
      </c>
      <c r="Q20" s="15" t="s">
        <v>140</v>
      </c>
      <c r="R20" s="15" t="s">
        <v>16</v>
      </c>
      <c r="S20" s="16" t="s">
        <v>17</v>
      </c>
      <c r="T20" s="7"/>
      <c r="U20" s="12">
        <v>227.0</v>
      </c>
      <c r="V20" s="14" t="s">
        <v>141</v>
      </c>
      <c r="W20" s="14" t="s">
        <v>19</v>
      </c>
      <c r="X20" s="16" t="s">
        <v>17</v>
      </c>
    </row>
    <row r="21" ht="12.75" customHeight="1">
      <c r="A21" s="12">
        <v>9.0</v>
      </c>
      <c r="B21" s="34" t="s">
        <v>142</v>
      </c>
      <c r="C21" s="34" t="s">
        <v>19</v>
      </c>
      <c r="D21" s="35" t="s">
        <v>17</v>
      </c>
      <c r="E21" s="7"/>
      <c r="F21" s="12">
        <v>11.0</v>
      </c>
      <c r="G21" s="15" t="s">
        <v>143</v>
      </c>
      <c r="H21" s="15" t="s">
        <v>16</v>
      </c>
      <c r="I21" s="16" t="s">
        <v>17</v>
      </c>
      <c r="J21" s="7"/>
      <c r="K21" s="12">
        <v>20.0</v>
      </c>
      <c r="L21" s="13" t="s">
        <v>144</v>
      </c>
      <c r="M21" s="13" t="s">
        <v>11</v>
      </c>
      <c r="N21" s="14" t="s">
        <v>145</v>
      </c>
      <c r="O21" s="7"/>
      <c r="P21" s="12">
        <v>124.0</v>
      </c>
      <c r="Q21" s="13" t="s">
        <v>146</v>
      </c>
      <c r="R21" s="13" t="s">
        <v>11</v>
      </c>
      <c r="S21" s="16" t="s">
        <v>17</v>
      </c>
      <c r="T21" s="7"/>
      <c r="U21" s="12">
        <v>228.0</v>
      </c>
      <c r="V21" s="14" t="s">
        <v>147</v>
      </c>
      <c r="W21" s="14" t="s">
        <v>19</v>
      </c>
      <c r="X21" s="16" t="s">
        <v>17</v>
      </c>
    </row>
    <row r="22" ht="12.75" customHeight="1">
      <c r="A22" s="12">
        <v>10.0</v>
      </c>
      <c r="B22" s="36" t="s">
        <v>148</v>
      </c>
      <c r="C22" s="36" t="s">
        <v>149</v>
      </c>
      <c r="D22" s="35" t="s">
        <v>17</v>
      </c>
      <c r="E22" s="7"/>
      <c r="F22" s="12">
        <v>12.0</v>
      </c>
      <c r="G22" s="15" t="s">
        <v>150</v>
      </c>
      <c r="H22" s="15" t="s">
        <v>16</v>
      </c>
      <c r="I22" s="14" t="s">
        <v>151</v>
      </c>
      <c r="J22" s="7"/>
      <c r="K22" s="12">
        <v>21.0</v>
      </c>
      <c r="L22" s="13" t="s">
        <v>152</v>
      </c>
      <c r="M22" s="13" t="s">
        <v>11</v>
      </c>
      <c r="N22" s="16" t="s">
        <v>17</v>
      </c>
      <c r="O22" s="7"/>
      <c r="P22" s="12">
        <v>125.0</v>
      </c>
      <c r="Q22" s="13" t="s">
        <v>153</v>
      </c>
      <c r="R22" s="13" t="s">
        <v>11</v>
      </c>
      <c r="S22" s="16" t="s">
        <v>17</v>
      </c>
      <c r="T22" s="7"/>
      <c r="U22" s="12">
        <v>229.0</v>
      </c>
      <c r="V22" s="14" t="s">
        <v>154</v>
      </c>
      <c r="W22" s="14" t="s">
        <v>19</v>
      </c>
      <c r="X22" s="16" t="s">
        <v>17</v>
      </c>
    </row>
    <row r="23" ht="12.75" customHeight="1">
      <c r="A23" s="12">
        <v>11.0</v>
      </c>
      <c r="B23" s="34" t="s">
        <v>155</v>
      </c>
      <c r="C23" s="34" t="s">
        <v>156</v>
      </c>
      <c r="D23" s="35" t="s">
        <v>17</v>
      </c>
      <c r="E23" s="7"/>
      <c r="F23" s="12">
        <v>13.0</v>
      </c>
      <c r="G23" s="15" t="s">
        <v>157</v>
      </c>
      <c r="H23" s="15" t="s">
        <v>16</v>
      </c>
      <c r="I23" s="14" t="s">
        <v>158</v>
      </c>
      <c r="J23" s="7"/>
      <c r="K23" s="12">
        <v>22.0</v>
      </c>
      <c r="L23" s="13" t="s">
        <v>159</v>
      </c>
      <c r="M23" s="13" t="s">
        <v>11</v>
      </c>
      <c r="N23" s="16" t="s">
        <v>17</v>
      </c>
      <c r="O23" s="7"/>
      <c r="P23" s="12">
        <v>126.0</v>
      </c>
      <c r="Q23" s="13" t="s">
        <v>160</v>
      </c>
      <c r="R23" s="13" t="s">
        <v>11</v>
      </c>
      <c r="S23" s="16" t="s">
        <v>17</v>
      </c>
      <c r="T23" s="7"/>
      <c r="U23" s="12">
        <v>230.0</v>
      </c>
      <c r="V23" s="25" t="s">
        <v>161</v>
      </c>
      <c r="W23" s="14" t="s">
        <v>19</v>
      </c>
      <c r="X23" s="16" t="s">
        <v>17</v>
      </c>
    </row>
    <row r="24" ht="12.75" customHeight="1">
      <c r="D24" s="5">
        <f>A23-COUNTIF(D13:D23,"---")</f>
        <v>7</v>
      </c>
      <c r="E24" s="7"/>
      <c r="F24" s="12">
        <v>14.0</v>
      </c>
      <c r="G24" s="15" t="s">
        <v>162</v>
      </c>
      <c r="H24" s="15" t="s">
        <v>16</v>
      </c>
      <c r="I24" s="16" t="s">
        <v>17</v>
      </c>
      <c r="J24" s="7"/>
      <c r="K24" s="12">
        <v>23.0</v>
      </c>
      <c r="L24" s="13" t="s">
        <v>163</v>
      </c>
      <c r="M24" s="13" t="s">
        <v>11</v>
      </c>
      <c r="N24" s="16" t="s">
        <v>17</v>
      </c>
      <c r="O24" s="7"/>
      <c r="P24" s="12">
        <v>127.0</v>
      </c>
      <c r="Q24" s="19" t="s">
        <v>164</v>
      </c>
      <c r="R24" s="13" t="s">
        <v>11</v>
      </c>
      <c r="S24" s="16" t="s">
        <v>165</v>
      </c>
      <c r="T24" s="7"/>
      <c r="U24" s="12">
        <v>231.0</v>
      </c>
      <c r="V24" s="14" t="s">
        <v>166</v>
      </c>
      <c r="W24" s="14" t="s">
        <v>19</v>
      </c>
      <c r="X24" s="16" t="s">
        <v>17</v>
      </c>
    </row>
    <row r="25" ht="12.75" customHeight="1">
      <c r="E25" s="7"/>
      <c r="F25" s="12">
        <v>15.0</v>
      </c>
      <c r="G25" s="15" t="s">
        <v>167</v>
      </c>
      <c r="H25" s="15" t="s">
        <v>16</v>
      </c>
      <c r="I25" s="14" t="s">
        <v>168</v>
      </c>
      <c r="J25" s="7"/>
      <c r="K25" s="12">
        <v>24.0</v>
      </c>
      <c r="L25" s="28" t="s">
        <v>169</v>
      </c>
      <c r="M25" s="28" t="s">
        <v>11</v>
      </c>
      <c r="N25" s="16" t="s">
        <v>17</v>
      </c>
      <c r="O25" s="7"/>
      <c r="P25" s="12">
        <v>128.0</v>
      </c>
      <c r="Q25" s="37" t="s">
        <v>170</v>
      </c>
      <c r="R25" s="28" t="s">
        <v>11</v>
      </c>
      <c r="S25" s="16" t="s">
        <v>171</v>
      </c>
      <c r="T25" s="7"/>
      <c r="U25" s="12">
        <v>232.0</v>
      </c>
      <c r="V25" s="30" t="s">
        <v>172</v>
      </c>
      <c r="W25" s="30" t="s">
        <v>19</v>
      </c>
      <c r="X25" s="16" t="s">
        <v>17</v>
      </c>
    </row>
    <row r="26" ht="12.75" customHeight="1">
      <c r="A26" s="6" t="s">
        <v>3</v>
      </c>
      <c r="B26" s="5" t="s">
        <v>173</v>
      </c>
      <c r="C26" s="5" t="s">
        <v>5</v>
      </c>
      <c r="D26" s="6" t="s">
        <v>6</v>
      </c>
      <c r="E26" s="11"/>
      <c r="F26" s="12">
        <v>16.0</v>
      </c>
      <c r="G26" s="29" t="s">
        <v>174</v>
      </c>
      <c r="H26" s="29" t="s">
        <v>16</v>
      </c>
      <c r="I26" s="16" t="s">
        <v>17</v>
      </c>
      <c r="J26" s="7"/>
      <c r="K26" s="12">
        <v>25.0</v>
      </c>
      <c r="L26" s="18" t="s">
        <v>175</v>
      </c>
      <c r="M26" s="18" t="s">
        <v>22</v>
      </c>
      <c r="N26" s="14" t="s">
        <v>176</v>
      </c>
      <c r="O26" s="7"/>
      <c r="P26" s="12">
        <v>129.0</v>
      </c>
      <c r="Q26" s="21" t="s">
        <v>177</v>
      </c>
      <c r="R26" s="21" t="s">
        <v>32</v>
      </c>
      <c r="S26" s="14" t="s">
        <v>178</v>
      </c>
      <c r="T26" s="7"/>
      <c r="U26" s="12">
        <v>233.0</v>
      </c>
      <c r="V26" s="25" t="s">
        <v>179</v>
      </c>
      <c r="W26" s="14" t="s">
        <v>19</v>
      </c>
      <c r="X26" s="16" t="s">
        <v>17</v>
      </c>
    </row>
    <row r="27" ht="12.75" customHeight="1">
      <c r="A27" s="12">
        <v>1.0</v>
      </c>
      <c r="B27" s="13" t="s">
        <v>180</v>
      </c>
      <c r="C27" s="13" t="s">
        <v>11</v>
      </c>
      <c r="D27" s="16" t="s">
        <v>17</v>
      </c>
      <c r="E27" s="7"/>
      <c r="F27" s="12">
        <v>17.0</v>
      </c>
      <c r="G27" s="15" t="s">
        <v>181</v>
      </c>
      <c r="H27" s="15" t="s">
        <v>16</v>
      </c>
      <c r="I27" s="14" t="s">
        <v>182</v>
      </c>
      <c r="J27" s="7"/>
      <c r="K27" s="12">
        <v>26.0</v>
      </c>
      <c r="L27" s="18" t="s">
        <v>183</v>
      </c>
      <c r="M27" s="18" t="s">
        <v>22</v>
      </c>
      <c r="N27" s="14" t="s">
        <v>184</v>
      </c>
      <c r="O27" s="7"/>
      <c r="P27" s="12">
        <v>130.0</v>
      </c>
      <c r="Q27" s="21" t="s">
        <v>185</v>
      </c>
      <c r="R27" s="21" t="s">
        <v>32</v>
      </c>
      <c r="S27" s="14" t="s">
        <v>186</v>
      </c>
      <c r="T27" s="7"/>
      <c r="U27" s="12">
        <v>234.0</v>
      </c>
      <c r="V27" s="14" t="s">
        <v>187</v>
      </c>
      <c r="W27" s="14" t="s">
        <v>19</v>
      </c>
      <c r="X27" s="16" t="s">
        <v>17</v>
      </c>
    </row>
    <row r="28" ht="12.75" customHeight="1">
      <c r="A28" s="12">
        <v>2.0</v>
      </c>
      <c r="B28" s="13" t="s">
        <v>188</v>
      </c>
      <c r="C28" s="13" t="s">
        <v>11</v>
      </c>
      <c r="D28" s="14" t="s">
        <v>189</v>
      </c>
      <c r="E28" s="7"/>
      <c r="F28" s="12">
        <v>18.0</v>
      </c>
      <c r="G28" s="15" t="s">
        <v>190</v>
      </c>
      <c r="H28" s="15" t="s">
        <v>16</v>
      </c>
      <c r="I28" s="16" t="s">
        <v>17</v>
      </c>
      <c r="J28" s="7"/>
      <c r="K28" s="12">
        <v>27.0</v>
      </c>
      <c r="L28" s="18" t="s">
        <v>191</v>
      </c>
      <c r="M28" s="18" t="s">
        <v>22</v>
      </c>
      <c r="N28" s="14" t="s">
        <v>88</v>
      </c>
      <c r="O28" s="7"/>
      <c r="P28" s="12">
        <v>131.0</v>
      </c>
      <c r="Q28" s="21" t="s">
        <v>192</v>
      </c>
      <c r="R28" s="21" t="s">
        <v>32</v>
      </c>
      <c r="S28" s="16" t="s">
        <v>17</v>
      </c>
      <c r="T28" s="7"/>
      <c r="U28" s="12">
        <v>235.0</v>
      </c>
      <c r="V28" s="14" t="s">
        <v>193</v>
      </c>
      <c r="W28" s="14" t="s">
        <v>19</v>
      </c>
      <c r="X28" s="16" t="s">
        <v>17</v>
      </c>
    </row>
    <row r="29" ht="12.75" customHeight="1">
      <c r="A29" s="12">
        <v>3.0</v>
      </c>
      <c r="B29" s="18" t="s">
        <v>194</v>
      </c>
      <c r="C29" s="18" t="s">
        <v>22</v>
      </c>
      <c r="D29" s="14" t="s">
        <v>195</v>
      </c>
      <c r="E29" s="7"/>
      <c r="F29" s="12">
        <v>19.0</v>
      </c>
      <c r="G29" s="15" t="s">
        <v>196</v>
      </c>
      <c r="H29" s="15" t="s">
        <v>16</v>
      </c>
      <c r="I29" s="16" t="s">
        <v>17</v>
      </c>
      <c r="J29" s="7"/>
      <c r="K29" s="12">
        <v>28.0</v>
      </c>
      <c r="L29" s="18" t="s">
        <v>197</v>
      </c>
      <c r="M29" s="18" t="s">
        <v>22</v>
      </c>
      <c r="N29" s="14" t="s">
        <v>198</v>
      </c>
      <c r="O29" s="7"/>
      <c r="P29" s="12">
        <v>132.0</v>
      </c>
      <c r="Q29" s="38" t="s">
        <v>199</v>
      </c>
      <c r="R29" s="21" t="s">
        <v>32</v>
      </c>
      <c r="S29" s="14" t="s">
        <v>200</v>
      </c>
      <c r="T29" s="7"/>
      <c r="U29" s="12">
        <v>236.0</v>
      </c>
      <c r="V29" s="14" t="s">
        <v>201</v>
      </c>
      <c r="W29" s="14" t="s">
        <v>19</v>
      </c>
      <c r="X29" s="16" t="s">
        <v>17</v>
      </c>
    </row>
    <row r="30" ht="12.75" customHeight="1">
      <c r="A30" s="12">
        <v>4.0</v>
      </c>
      <c r="B30" s="15" t="s">
        <v>202</v>
      </c>
      <c r="C30" s="15" t="s">
        <v>16</v>
      </c>
      <c r="D30" s="31" t="s">
        <v>93</v>
      </c>
      <c r="E30" s="7"/>
      <c r="F30" s="12">
        <v>20.0</v>
      </c>
      <c r="G30" s="15" t="s">
        <v>203</v>
      </c>
      <c r="H30" s="15" t="s">
        <v>16</v>
      </c>
      <c r="I30" s="16" t="s">
        <v>17</v>
      </c>
      <c r="J30" s="7"/>
      <c r="K30" s="12">
        <v>29.0</v>
      </c>
      <c r="L30" s="18" t="s">
        <v>204</v>
      </c>
      <c r="M30" s="18" t="s">
        <v>22</v>
      </c>
      <c r="N30" s="14" t="s">
        <v>205</v>
      </c>
      <c r="O30" s="7"/>
      <c r="P30" s="12">
        <v>133.0</v>
      </c>
      <c r="Q30" s="21" t="s">
        <v>206</v>
      </c>
      <c r="R30" s="21" t="s">
        <v>32</v>
      </c>
      <c r="S30" s="16" t="s">
        <v>17</v>
      </c>
      <c r="T30" s="7"/>
      <c r="U30" s="12">
        <v>237.0</v>
      </c>
      <c r="V30" s="25" t="s">
        <v>207</v>
      </c>
      <c r="W30" s="14" t="s">
        <v>19</v>
      </c>
      <c r="X30" s="16" t="s">
        <v>17</v>
      </c>
    </row>
    <row r="31" ht="12.75" customHeight="1">
      <c r="A31" s="12">
        <v>5.0</v>
      </c>
      <c r="B31" s="15" t="s">
        <v>208</v>
      </c>
      <c r="C31" s="15" t="s">
        <v>16</v>
      </c>
      <c r="D31" s="14" t="s">
        <v>209</v>
      </c>
      <c r="E31" s="7"/>
      <c r="F31" s="12">
        <v>21.0</v>
      </c>
      <c r="G31" s="15" t="s">
        <v>210</v>
      </c>
      <c r="H31" s="15" t="s">
        <v>16</v>
      </c>
      <c r="I31" s="14" t="s">
        <v>211</v>
      </c>
      <c r="J31" s="7"/>
      <c r="K31" s="12">
        <v>30.0</v>
      </c>
      <c r="L31" s="18" t="s">
        <v>212</v>
      </c>
      <c r="M31" s="18" t="s">
        <v>22</v>
      </c>
      <c r="N31" s="14" t="s">
        <v>213</v>
      </c>
      <c r="O31" s="7"/>
      <c r="P31" s="12">
        <v>134.0</v>
      </c>
      <c r="Q31" s="21" t="s">
        <v>214</v>
      </c>
      <c r="R31" s="21" t="s">
        <v>32</v>
      </c>
      <c r="S31" s="16" t="s">
        <v>17</v>
      </c>
      <c r="T31" s="7"/>
      <c r="U31" s="12">
        <v>238.0</v>
      </c>
      <c r="V31" s="14" t="s">
        <v>215</v>
      </c>
      <c r="W31" s="14" t="s">
        <v>19</v>
      </c>
      <c r="X31" s="16" t="s">
        <v>17</v>
      </c>
    </row>
    <row r="32" ht="12.75" customHeight="1">
      <c r="A32" s="12">
        <v>6.0</v>
      </c>
      <c r="B32" s="15" t="s">
        <v>216</v>
      </c>
      <c r="C32" s="15" t="s">
        <v>16</v>
      </c>
      <c r="D32" s="14" t="s">
        <v>217</v>
      </c>
      <c r="E32" s="11"/>
      <c r="F32" s="12">
        <v>22.0</v>
      </c>
      <c r="G32" s="15" t="s">
        <v>218</v>
      </c>
      <c r="H32" s="15" t="s">
        <v>16</v>
      </c>
      <c r="I32" s="16" t="s">
        <v>17</v>
      </c>
      <c r="J32" s="7"/>
      <c r="K32" s="12">
        <v>31.0</v>
      </c>
      <c r="L32" s="18" t="s">
        <v>219</v>
      </c>
      <c r="M32" s="18" t="s">
        <v>22</v>
      </c>
      <c r="N32" s="14" t="s">
        <v>220</v>
      </c>
      <c r="O32" s="7"/>
      <c r="P32" s="12">
        <v>135.0</v>
      </c>
      <c r="Q32" s="21" t="s">
        <v>221</v>
      </c>
      <c r="R32" s="21" t="s">
        <v>32</v>
      </c>
      <c r="S32" s="16" t="s">
        <v>17</v>
      </c>
      <c r="T32" s="7"/>
      <c r="U32" s="12">
        <v>239.0</v>
      </c>
      <c r="V32" s="24" t="s">
        <v>222</v>
      </c>
      <c r="W32" s="24" t="s">
        <v>50</v>
      </c>
      <c r="X32" s="14" t="s">
        <v>223</v>
      </c>
    </row>
    <row r="33" ht="12.75" customHeight="1">
      <c r="A33" s="12">
        <v>7.0</v>
      </c>
      <c r="B33" s="15" t="s">
        <v>224</v>
      </c>
      <c r="C33" s="15" t="s">
        <v>16</v>
      </c>
      <c r="D33" s="14" t="s">
        <v>225</v>
      </c>
      <c r="E33" s="11"/>
      <c r="F33" s="12">
        <v>23.0</v>
      </c>
      <c r="G33" s="15" t="s">
        <v>226</v>
      </c>
      <c r="H33" s="15" t="s">
        <v>16</v>
      </c>
      <c r="I33" s="14" t="s">
        <v>227</v>
      </c>
      <c r="J33" s="7"/>
      <c r="K33" s="12">
        <v>32.0</v>
      </c>
      <c r="L33" s="33" t="s">
        <v>228</v>
      </c>
      <c r="M33" s="33" t="s">
        <v>22</v>
      </c>
      <c r="N33" s="14" t="s">
        <v>229</v>
      </c>
      <c r="O33" s="7"/>
      <c r="P33" s="12">
        <v>136.0</v>
      </c>
      <c r="Q33" s="39" t="s">
        <v>230</v>
      </c>
      <c r="R33" s="39" t="s">
        <v>32</v>
      </c>
      <c r="S33" s="16" t="s">
        <v>17</v>
      </c>
      <c r="T33" s="7"/>
      <c r="U33" s="12">
        <v>240.0</v>
      </c>
      <c r="V33" s="40" t="s">
        <v>231</v>
      </c>
      <c r="W33" s="40" t="s">
        <v>50</v>
      </c>
      <c r="X33" s="16" t="s">
        <v>17</v>
      </c>
    </row>
    <row r="34" ht="12.75" customHeight="1">
      <c r="A34" s="12">
        <v>8.0</v>
      </c>
      <c r="B34" s="29" t="s">
        <v>232</v>
      </c>
      <c r="C34" s="29" t="s">
        <v>16</v>
      </c>
      <c r="D34" s="14" t="s">
        <v>225</v>
      </c>
      <c r="E34" s="7"/>
      <c r="F34" s="12">
        <v>24.0</v>
      </c>
      <c r="G34" s="29" t="s">
        <v>233</v>
      </c>
      <c r="H34" s="29" t="s">
        <v>16</v>
      </c>
      <c r="I34" s="14" t="s">
        <v>234</v>
      </c>
      <c r="J34" s="7"/>
      <c r="K34" s="12">
        <v>33.0</v>
      </c>
      <c r="L34" s="18" t="s">
        <v>235</v>
      </c>
      <c r="M34" s="18" t="s">
        <v>22</v>
      </c>
      <c r="N34" s="14" t="s">
        <v>236</v>
      </c>
      <c r="O34" s="7"/>
      <c r="P34" s="12">
        <v>137.0</v>
      </c>
      <c r="Q34" s="41" t="s">
        <v>237</v>
      </c>
      <c r="R34" s="21" t="s">
        <v>32</v>
      </c>
      <c r="S34" s="14" t="s">
        <v>238</v>
      </c>
      <c r="T34" s="7"/>
      <c r="U34" s="12">
        <v>241.0</v>
      </c>
      <c r="V34" s="24" t="s">
        <v>239</v>
      </c>
      <c r="W34" s="24" t="s">
        <v>50</v>
      </c>
      <c r="X34" s="14" t="s">
        <v>240</v>
      </c>
    </row>
    <row r="35" ht="12.75" customHeight="1">
      <c r="A35" s="12">
        <v>9.0</v>
      </c>
      <c r="B35" s="15" t="s">
        <v>241</v>
      </c>
      <c r="C35" s="15" t="s">
        <v>16</v>
      </c>
      <c r="D35" s="14" t="s">
        <v>242</v>
      </c>
      <c r="E35" s="7"/>
      <c r="F35" s="12">
        <v>25.0</v>
      </c>
      <c r="G35" s="15" t="s">
        <v>243</v>
      </c>
      <c r="H35" s="15" t="s">
        <v>16</v>
      </c>
      <c r="I35" s="16" t="s">
        <v>17</v>
      </c>
      <c r="J35" s="7"/>
      <c r="K35" s="12">
        <v>34.0</v>
      </c>
      <c r="L35" s="42" t="s">
        <v>244</v>
      </c>
      <c r="M35" s="18" t="s">
        <v>22</v>
      </c>
      <c r="N35" s="14" t="s">
        <v>245</v>
      </c>
      <c r="O35" s="7"/>
      <c r="P35" s="12">
        <v>138.0</v>
      </c>
      <c r="Q35" s="21" t="s">
        <v>246</v>
      </c>
      <c r="R35" s="21" t="s">
        <v>32</v>
      </c>
      <c r="S35" s="16" t="s">
        <v>17</v>
      </c>
      <c r="T35" s="7"/>
      <c r="U35" s="12">
        <v>242.0</v>
      </c>
      <c r="V35" s="24" t="s">
        <v>247</v>
      </c>
      <c r="W35" s="24" t="s">
        <v>50</v>
      </c>
      <c r="X35" s="14" t="s">
        <v>248</v>
      </c>
    </row>
    <row r="36" ht="12.75" customHeight="1">
      <c r="A36" s="12">
        <v>10.0</v>
      </c>
      <c r="B36" s="13" t="s">
        <v>249</v>
      </c>
      <c r="C36" s="13" t="s">
        <v>11</v>
      </c>
      <c r="D36" s="16" t="s">
        <v>17</v>
      </c>
      <c r="E36" s="7"/>
      <c r="F36" s="12">
        <v>26.0</v>
      </c>
      <c r="G36" s="15" t="s">
        <v>250</v>
      </c>
      <c r="H36" s="15" t="s">
        <v>16</v>
      </c>
      <c r="I36" s="16" t="s">
        <v>17</v>
      </c>
      <c r="J36" s="7"/>
      <c r="K36" s="12">
        <v>35.0</v>
      </c>
      <c r="L36" s="18" t="s">
        <v>251</v>
      </c>
      <c r="M36" s="18" t="s">
        <v>22</v>
      </c>
      <c r="N36" s="16" t="s">
        <v>17</v>
      </c>
      <c r="O36" s="7"/>
      <c r="P36" s="12">
        <v>139.0</v>
      </c>
      <c r="Q36" s="41" t="s">
        <v>252</v>
      </c>
      <c r="R36" s="21" t="s">
        <v>32</v>
      </c>
      <c r="S36" s="14" t="s">
        <v>253</v>
      </c>
      <c r="T36" s="7"/>
      <c r="U36" s="12">
        <v>243.0</v>
      </c>
      <c r="V36" s="24" t="s">
        <v>254</v>
      </c>
      <c r="W36" s="24" t="s">
        <v>50</v>
      </c>
      <c r="X36" s="14" t="s">
        <v>255</v>
      </c>
    </row>
    <row r="37" ht="12.75" customHeight="1">
      <c r="A37" s="12">
        <v>11.0</v>
      </c>
      <c r="B37" s="13" t="s">
        <v>256</v>
      </c>
      <c r="C37" s="13" t="s">
        <v>11</v>
      </c>
      <c r="D37" s="14" t="s">
        <v>257</v>
      </c>
      <c r="E37" s="7"/>
      <c r="F37" s="12">
        <v>27.0</v>
      </c>
      <c r="G37" s="15" t="s">
        <v>258</v>
      </c>
      <c r="H37" s="15" t="s">
        <v>16</v>
      </c>
      <c r="I37" s="14" t="s">
        <v>259</v>
      </c>
      <c r="J37" s="7"/>
      <c r="K37" s="12">
        <v>36.0</v>
      </c>
      <c r="L37" s="18" t="s">
        <v>260</v>
      </c>
      <c r="M37" s="18" t="s">
        <v>22</v>
      </c>
      <c r="N37" s="16" t="s">
        <v>17</v>
      </c>
      <c r="O37" s="7"/>
      <c r="P37" s="12">
        <v>140.0</v>
      </c>
      <c r="Q37" s="21" t="s">
        <v>261</v>
      </c>
      <c r="R37" s="21" t="s">
        <v>32</v>
      </c>
      <c r="S37" s="14" t="s">
        <v>262</v>
      </c>
      <c r="T37" s="7"/>
      <c r="U37" s="12">
        <v>244.0</v>
      </c>
      <c r="V37" s="24" t="s">
        <v>263</v>
      </c>
      <c r="W37" s="24" t="s">
        <v>50</v>
      </c>
      <c r="X37" s="16" t="s">
        <v>17</v>
      </c>
    </row>
    <row r="38" ht="12.75" customHeight="1">
      <c r="A38" s="12">
        <v>12.0</v>
      </c>
      <c r="B38" s="21" t="s">
        <v>264</v>
      </c>
      <c r="C38" s="21" t="s">
        <v>32</v>
      </c>
      <c r="D38" s="14" t="s">
        <v>265</v>
      </c>
      <c r="E38" s="7"/>
      <c r="F38" s="12">
        <v>28.0</v>
      </c>
      <c r="G38" s="15" t="s">
        <v>266</v>
      </c>
      <c r="H38" s="15" t="s">
        <v>16</v>
      </c>
      <c r="I38" s="16" t="s">
        <v>17</v>
      </c>
      <c r="J38" s="7"/>
      <c r="K38" s="12">
        <v>37.0</v>
      </c>
      <c r="L38" s="15" t="s">
        <v>267</v>
      </c>
      <c r="M38" s="15" t="s">
        <v>16</v>
      </c>
      <c r="N38" s="16" t="s">
        <v>17</v>
      </c>
      <c r="O38" s="7"/>
      <c r="P38" s="12">
        <v>141.0</v>
      </c>
      <c r="Q38" s="21" t="s">
        <v>268</v>
      </c>
      <c r="R38" s="21" t="s">
        <v>32</v>
      </c>
      <c r="S38" s="14" t="s">
        <v>269</v>
      </c>
      <c r="T38" s="7"/>
      <c r="U38" s="12">
        <v>245.0</v>
      </c>
      <c r="V38" s="24" t="s">
        <v>270</v>
      </c>
      <c r="W38" s="24" t="s">
        <v>50</v>
      </c>
      <c r="X38" s="16" t="s">
        <v>17</v>
      </c>
    </row>
    <row r="39" ht="12.75" customHeight="1">
      <c r="A39" s="12">
        <v>13.0</v>
      </c>
      <c r="B39" s="21" t="s">
        <v>271</v>
      </c>
      <c r="C39" s="21" t="s">
        <v>32</v>
      </c>
      <c r="D39" s="14" t="s">
        <v>272</v>
      </c>
      <c r="E39" s="7"/>
      <c r="F39" s="12">
        <v>29.0</v>
      </c>
      <c r="G39" s="15" t="s">
        <v>273</v>
      </c>
      <c r="H39" s="15" t="s">
        <v>16</v>
      </c>
      <c r="I39" s="16" t="s">
        <v>17</v>
      </c>
      <c r="J39" s="7"/>
      <c r="K39" s="12">
        <v>38.0</v>
      </c>
      <c r="L39" s="15" t="s">
        <v>274</v>
      </c>
      <c r="M39" s="15" t="s">
        <v>16</v>
      </c>
      <c r="N39" s="14" t="s">
        <v>275</v>
      </c>
      <c r="O39" s="7"/>
      <c r="P39" s="12">
        <v>142.0</v>
      </c>
      <c r="Q39" s="21" t="s">
        <v>276</v>
      </c>
      <c r="R39" s="21" t="s">
        <v>32</v>
      </c>
      <c r="S39" s="14" t="s">
        <v>277</v>
      </c>
      <c r="T39" s="7"/>
      <c r="U39" s="12">
        <v>246.0</v>
      </c>
      <c r="V39" s="24" t="s">
        <v>278</v>
      </c>
      <c r="W39" s="24" t="s">
        <v>50</v>
      </c>
      <c r="X39" s="16" t="s">
        <v>17</v>
      </c>
    </row>
    <row r="40" ht="12.75" customHeight="1">
      <c r="A40" s="12">
        <v>14.0</v>
      </c>
      <c r="B40" s="21" t="s">
        <v>279</v>
      </c>
      <c r="C40" s="21" t="s">
        <v>32</v>
      </c>
      <c r="D40" s="14" t="s">
        <v>280</v>
      </c>
      <c r="E40" s="7"/>
      <c r="F40" s="12">
        <v>30.0</v>
      </c>
      <c r="G40" s="15" t="s">
        <v>281</v>
      </c>
      <c r="H40" s="15" t="s">
        <v>16</v>
      </c>
      <c r="I40" s="16" t="s">
        <v>17</v>
      </c>
      <c r="J40" s="7"/>
      <c r="K40" s="12">
        <v>39.0</v>
      </c>
      <c r="L40" s="15" t="s">
        <v>282</v>
      </c>
      <c r="M40" s="15" t="s">
        <v>16</v>
      </c>
      <c r="N40" s="16" t="s">
        <v>17</v>
      </c>
      <c r="O40" s="7"/>
      <c r="P40" s="12">
        <v>143.0</v>
      </c>
      <c r="Q40" s="21" t="s">
        <v>283</v>
      </c>
      <c r="R40" s="21" t="s">
        <v>32</v>
      </c>
      <c r="S40" s="14" t="s">
        <v>284</v>
      </c>
      <c r="T40" s="7"/>
      <c r="U40" s="12">
        <v>247.0</v>
      </c>
      <c r="V40" s="24" t="s">
        <v>285</v>
      </c>
      <c r="W40" s="24" t="s">
        <v>50</v>
      </c>
      <c r="X40" s="14" t="s">
        <v>286</v>
      </c>
    </row>
    <row r="41" ht="12.75" customHeight="1">
      <c r="A41" s="12">
        <v>15.0</v>
      </c>
      <c r="B41" s="32" t="s">
        <v>287</v>
      </c>
      <c r="C41" s="32" t="s">
        <v>116</v>
      </c>
      <c r="D41" s="31" t="s">
        <v>93</v>
      </c>
      <c r="E41" s="7"/>
      <c r="F41" s="12">
        <v>31.0</v>
      </c>
      <c r="G41" s="15" t="s">
        <v>288</v>
      </c>
      <c r="H41" s="15" t="s">
        <v>16</v>
      </c>
      <c r="I41" s="16" t="s">
        <v>17</v>
      </c>
      <c r="J41" s="7"/>
      <c r="K41" s="12">
        <v>40.0</v>
      </c>
      <c r="L41" s="29" t="s">
        <v>289</v>
      </c>
      <c r="M41" s="29" t="s">
        <v>16</v>
      </c>
      <c r="N41" s="14" t="s">
        <v>290</v>
      </c>
      <c r="O41" s="7"/>
      <c r="P41" s="12">
        <v>144.0</v>
      </c>
      <c r="Q41" s="39" t="s">
        <v>291</v>
      </c>
      <c r="R41" s="39" t="s">
        <v>32</v>
      </c>
      <c r="S41" s="14" t="s">
        <v>292</v>
      </c>
      <c r="T41" s="7"/>
      <c r="U41" s="12">
        <v>248.0</v>
      </c>
      <c r="V41" s="40" t="s">
        <v>293</v>
      </c>
      <c r="W41" s="40" t="s">
        <v>50</v>
      </c>
      <c r="X41" s="14" t="s">
        <v>294</v>
      </c>
    </row>
    <row r="42" ht="12.75" customHeight="1">
      <c r="A42" s="12">
        <v>16.0</v>
      </c>
      <c r="B42" s="43" t="s">
        <v>295</v>
      </c>
      <c r="C42" s="43" t="s">
        <v>116</v>
      </c>
      <c r="D42" s="31" t="s">
        <v>93</v>
      </c>
      <c r="E42" s="7"/>
      <c r="F42" s="12">
        <v>32.0</v>
      </c>
      <c r="G42" s="39" t="s">
        <v>296</v>
      </c>
      <c r="H42" s="39" t="s">
        <v>32</v>
      </c>
      <c r="I42" s="16" t="s">
        <v>17</v>
      </c>
      <c r="J42" s="7"/>
      <c r="K42" s="12">
        <v>41.0</v>
      </c>
      <c r="L42" s="15" t="s">
        <v>297</v>
      </c>
      <c r="M42" s="15" t="s">
        <v>16</v>
      </c>
      <c r="N42" s="14" t="s">
        <v>298</v>
      </c>
      <c r="O42" s="7"/>
      <c r="P42" s="12">
        <v>145.0</v>
      </c>
      <c r="Q42" s="21" t="s">
        <v>299</v>
      </c>
      <c r="R42" s="21" t="s">
        <v>32</v>
      </c>
      <c r="S42" s="16" t="s">
        <v>17</v>
      </c>
      <c r="T42" s="7"/>
      <c r="U42" s="12">
        <v>249.0</v>
      </c>
      <c r="V42" s="24" t="s">
        <v>300</v>
      </c>
      <c r="W42" s="24" t="s">
        <v>50</v>
      </c>
      <c r="X42" s="16" t="s">
        <v>17</v>
      </c>
    </row>
    <row r="43" ht="12.75" customHeight="1">
      <c r="A43" s="12">
        <v>17.0</v>
      </c>
      <c r="B43" s="32" t="s">
        <v>301</v>
      </c>
      <c r="C43" s="32" t="s">
        <v>116</v>
      </c>
      <c r="D43" s="16" t="s">
        <v>17</v>
      </c>
      <c r="E43" s="7"/>
      <c r="F43" s="12">
        <v>33.0</v>
      </c>
      <c r="G43" s="21" t="s">
        <v>302</v>
      </c>
      <c r="H43" s="21" t="s">
        <v>32</v>
      </c>
      <c r="I43" s="16" t="s">
        <v>17</v>
      </c>
      <c r="J43" s="7"/>
      <c r="K43" s="12">
        <v>42.0</v>
      </c>
      <c r="L43" s="15" t="s">
        <v>303</v>
      </c>
      <c r="M43" s="15" t="s">
        <v>16</v>
      </c>
      <c r="N43" s="16" t="s">
        <v>17</v>
      </c>
      <c r="O43" s="7"/>
      <c r="P43" s="12">
        <v>146.0</v>
      </c>
      <c r="Q43" s="21" t="s">
        <v>304</v>
      </c>
      <c r="R43" s="21" t="s">
        <v>32</v>
      </c>
      <c r="S43" s="16" t="s">
        <v>305</v>
      </c>
      <c r="T43" s="7"/>
      <c r="U43" s="12">
        <v>250.0</v>
      </c>
      <c r="V43" s="24" t="s">
        <v>306</v>
      </c>
      <c r="W43" s="24" t="s">
        <v>50</v>
      </c>
      <c r="X43" s="16" t="s">
        <v>17</v>
      </c>
    </row>
    <row r="44" ht="12.75" customHeight="1">
      <c r="A44" s="12">
        <v>18.0</v>
      </c>
      <c r="B44" s="32" t="s">
        <v>307</v>
      </c>
      <c r="C44" s="32" t="s">
        <v>116</v>
      </c>
      <c r="D44" s="14" t="s">
        <v>308</v>
      </c>
      <c r="E44" s="7"/>
      <c r="F44" s="12">
        <v>34.0</v>
      </c>
      <c r="G44" s="21" t="s">
        <v>309</v>
      </c>
      <c r="H44" s="21" t="s">
        <v>32</v>
      </c>
      <c r="I44" s="16" t="s">
        <v>17</v>
      </c>
      <c r="J44" s="7"/>
      <c r="K44" s="12">
        <v>43.0</v>
      </c>
      <c r="L44" s="44" t="s">
        <v>310</v>
      </c>
      <c r="M44" s="15" t="s">
        <v>16</v>
      </c>
      <c r="N44" s="16" t="s">
        <v>311</v>
      </c>
      <c r="O44" s="7"/>
      <c r="P44" s="12">
        <v>147.0</v>
      </c>
      <c r="Q44" s="21" t="s">
        <v>312</v>
      </c>
      <c r="R44" s="21" t="s">
        <v>32</v>
      </c>
      <c r="S44" s="16" t="s">
        <v>17</v>
      </c>
      <c r="T44" s="7"/>
      <c r="U44" s="12">
        <v>251.0</v>
      </c>
      <c r="V44" s="24" t="s">
        <v>313</v>
      </c>
      <c r="W44" s="24" t="s">
        <v>50</v>
      </c>
      <c r="X44" s="14" t="s">
        <v>314</v>
      </c>
    </row>
    <row r="45" ht="12.75" customHeight="1">
      <c r="A45" s="12">
        <v>19.0</v>
      </c>
      <c r="B45" s="32" t="s">
        <v>315</v>
      </c>
      <c r="C45" s="32" t="s">
        <v>116</v>
      </c>
      <c r="D45" s="16" t="s">
        <v>17</v>
      </c>
      <c r="E45" s="7"/>
      <c r="F45" s="12">
        <v>35.0</v>
      </c>
      <c r="G45" s="41" t="s">
        <v>316</v>
      </c>
      <c r="H45" s="21" t="s">
        <v>32</v>
      </c>
      <c r="I45" s="14" t="s">
        <v>317</v>
      </c>
      <c r="J45" s="7"/>
      <c r="K45" s="12">
        <v>44.0</v>
      </c>
      <c r="L45" s="15" t="s">
        <v>318</v>
      </c>
      <c r="M45" s="15" t="s">
        <v>16</v>
      </c>
      <c r="N45" s="16" t="s">
        <v>17</v>
      </c>
      <c r="O45" s="7"/>
      <c r="P45" s="12">
        <v>148.0</v>
      </c>
      <c r="Q45" s="21" t="s">
        <v>319</v>
      </c>
      <c r="R45" s="21" t="s">
        <v>32</v>
      </c>
      <c r="S45" s="16" t="s">
        <v>17</v>
      </c>
      <c r="T45" s="7"/>
      <c r="U45" s="12">
        <v>252.0</v>
      </c>
      <c r="V45" s="24" t="s">
        <v>320</v>
      </c>
      <c r="W45" s="24" t="s">
        <v>50</v>
      </c>
      <c r="X45" s="14" t="s">
        <v>321</v>
      </c>
    </row>
    <row r="46" ht="12.75" customHeight="1">
      <c r="A46" s="12">
        <v>20.0</v>
      </c>
      <c r="B46" s="24" t="s">
        <v>322</v>
      </c>
      <c r="C46" s="24" t="s">
        <v>50</v>
      </c>
      <c r="D46" s="16" t="s">
        <v>17</v>
      </c>
      <c r="E46" s="7"/>
      <c r="F46" s="12">
        <v>36.0</v>
      </c>
      <c r="G46" s="21" t="s">
        <v>323</v>
      </c>
      <c r="H46" s="21" t="s">
        <v>32</v>
      </c>
      <c r="I46" s="14" t="s">
        <v>151</v>
      </c>
      <c r="J46" s="7"/>
      <c r="K46" s="12">
        <v>45.0</v>
      </c>
      <c r="L46" s="15" t="s">
        <v>324</v>
      </c>
      <c r="M46" s="15" t="s">
        <v>16</v>
      </c>
      <c r="N46" s="16" t="s">
        <v>17</v>
      </c>
      <c r="O46" s="7"/>
      <c r="P46" s="12">
        <v>149.0</v>
      </c>
      <c r="Q46" s="21" t="s">
        <v>325</v>
      </c>
      <c r="R46" s="21" t="s">
        <v>32</v>
      </c>
      <c r="S46" s="16" t="s">
        <v>17</v>
      </c>
      <c r="T46" s="7"/>
      <c r="U46" s="12">
        <v>253.0</v>
      </c>
      <c r="V46" s="24" t="s">
        <v>326</v>
      </c>
      <c r="W46" s="24" t="s">
        <v>50</v>
      </c>
      <c r="X46" s="16" t="s">
        <v>17</v>
      </c>
    </row>
    <row r="47" ht="12.75" customHeight="1">
      <c r="A47" s="12">
        <v>21.0</v>
      </c>
      <c r="B47" s="24" t="s">
        <v>327</v>
      </c>
      <c r="C47" s="24" t="s">
        <v>50</v>
      </c>
      <c r="D47" s="16" t="s">
        <v>17</v>
      </c>
      <c r="E47" s="7"/>
      <c r="F47" s="12">
        <v>37.0</v>
      </c>
      <c r="G47" s="21" t="s">
        <v>328</v>
      </c>
      <c r="H47" s="21" t="s">
        <v>32</v>
      </c>
      <c r="I47" s="16" t="s">
        <v>17</v>
      </c>
      <c r="J47" s="7"/>
      <c r="K47" s="12">
        <v>46.0</v>
      </c>
      <c r="L47" s="15" t="s">
        <v>329</v>
      </c>
      <c r="M47" s="15" t="s">
        <v>16</v>
      </c>
      <c r="N47" s="14" t="s">
        <v>330</v>
      </c>
      <c r="O47" s="7"/>
      <c r="P47" s="12">
        <v>150.0</v>
      </c>
      <c r="Q47" s="21" t="s">
        <v>331</v>
      </c>
      <c r="R47" s="21" t="s">
        <v>32</v>
      </c>
      <c r="S47" s="16" t="s">
        <v>17</v>
      </c>
      <c r="T47" s="7"/>
      <c r="U47" s="12">
        <v>254.0</v>
      </c>
      <c r="V47" s="24" t="s">
        <v>332</v>
      </c>
      <c r="W47" s="24" t="s">
        <v>50</v>
      </c>
      <c r="X47" s="16" t="s">
        <v>17</v>
      </c>
    </row>
    <row r="48" ht="12.75" customHeight="1">
      <c r="A48" s="12">
        <v>22.0</v>
      </c>
      <c r="B48" s="14" t="s">
        <v>333</v>
      </c>
      <c r="C48" s="34" t="s">
        <v>156</v>
      </c>
      <c r="D48" s="16" t="s">
        <v>17</v>
      </c>
      <c r="E48" s="7"/>
      <c r="F48" s="12">
        <v>38.0</v>
      </c>
      <c r="G48" s="21" t="s">
        <v>334</v>
      </c>
      <c r="H48" s="21" t="s">
        <v>32</v>
      </c>
      <c r="I48" s="16" t="s">
        <v>17</v>
      </c>
      <c r="J48" s="7"/>
      <c r="K48" s="12">
        <v>47.0</v>
      </c>
      <c r="L48" s="15" t="s">
        <v>335</v>
      </c>
      <c r="M48" s="15" t="s">
        <v>16</v>
      </c>
      <c r="N48" s="14" t="s">
        <v>336</v>
      </c>
      <c r="O48" s="7"/>
      <c r="P48" s="12">
        <v>151.0</v>
      </c>
      <c r="Q48" s="32" t="s">
        <v>337</v>
      </c>
      <c r="R48" s="32" t="s">
        <v>116</v>
      </c>
      <c r="S48" s="16" t="s">
        <v>17</v>
      </c>
      <c r="T48" s="7"/>
      <c r="U48" s="12">
        <v>255.0</v>
      </c>
      <c r="V48" s="32" t="s">
        <v>338</v>
      </c>
      <c r="W48" s="32" t="s">
        <v>116</v>
      </c>
      <c r="X48" s="16" t="s">
        <v>17</v>
      </c>
    </row>
    <row r="49" ht="12.75" customHeight="1">
      <c r="A49" s="12">
        <v>23.0</v>
      </c>
      <c r="B49" s="14" t="s">
        <v>339</v>
      </c>
      <c r="C49" s="34" t="s">
        <v>156</v>
      </c>
      <c r="D49" s="16" t="s">
        <v>340</v>
      </c>
      <c r="E49" s="7"/>
      <c r="F49" s="12">
        <v>39.0</v>
      </c>
      <c r="G49" s="21" t="s">
        <v>341</v>
      </c>
      <c r="H49" s="21" t="s">
        <v>32</v>
      </c>
      <c r="I49" s="14" t="s">
        <v>342</v>
      </c>
      <c r="J49" s="7"/>
      <c r="K49" s="12">
        <v>48.0</v>
      </c>
      <c r="L49" s="29" t="s">
        <v>343</v>
      </c>
      <c r="M49" s="29" t="s">
        <v>16</v>
      </c>
      <c r="N49" s="14" t="s">
        <v>344</v>
      </c>
      <c r="O49" s="7"/>
      <c r="P49" s="12">
        <v>152.0</v>
      </c>
      <c r="Q49" s="43" t="s">
        <v>345</v>
      </c>
      <c r="R49" s="43" t="s">
        <v>116</v>
      </c>
      <c r="S49" s="14" t="s">
        <v>346</v>
      </c>
      <c r="T49" s="7"/>
      <c r="U49" s="12">
        <v>256.0</v>
      </c>
      <c r="V49" s="23" t="s">
        <v>347</v>
      </c>
      <c r="W49" s="23" t="s">
        <v>41</v>
      </c>
      <c r="X49" s="14" t="s">
        <v>348</v>
      </c>
    </row>
    <row r="50" ht="12.75" customHeight="1">
      <c r="D50" s="5">
        <f>A49-COUNTIF(D27:D49,"---")</f>
        <v>16</v>
      </c>
      <c r="E50" s="7"/>
      <c r="F50" s="12">
        <v>40.0</v>
      </c>
      <c r="G50" s="39" t="s">
        <v>349</v>
      </c>
      <c r="H50" s="39" t="s">
        <v>32</v>
      </c>
      <c r="I50" s="16" t="s">
        <v>17</v>
      </c>
      <c r="J50" s="7"/>
      <c r="K50" s="12">
        <v>49.0</v>
      </c>
      <c r="L50" s="15" t="s">
        <v>350</v>
      </c>
      <c r="M50" s="15" t="s">
        <v>16</v>
      </c>
      <c r="N50" s="16" t="s">
        <v>17</v>
      </c>
      <c r="O50" s="7"/>
      <c r="P50" s="12">
        <v>153.0</v>
      </c>
      <c r="Q50" s="32" t="s">
        <v>351</v>
      </c>
      <c r="R50" s="32" t="s">
        <v>116</v>
      </c>
      <c r="S50" s="14" t="s">
        <v>352</v>
      </c>
      <c r="T50" s="7"/>
      <c r="U50" s="12">
        <v>257.0</v>
      </c>
      <c r="V50" s="23" t="s">
        <v>353</v>
      </c>
      <c r="W50" s="23" t="s">
        <v>41</v>
      </c>
      <c r="X50" s="14" t="s">
        <v>354</v>
      </c>
    </row>
    <row r="51" ht="12.75" customHeight="1">
      <c r="A51" s="45"/>
      <c r="B51" s="7"/>
      <c r="C51" s="46"/>
      <c r="D51" s="7"/>
      <c r="E51" s="7"/>
      <c r="F51" s="12">
        <v>41.0</v>
      </c>
      <c r="G51" s="21" t="s">
        <v>355</v>
      </c>
      <c r="H51" s="21" t="s">
        <v>32</v>
      </c>
      <c r="I51" s="16" t="s">
        <v>17</v>
      </c>
      <c r="J51" s="7"/>
      <c r="K51" s="12">
        <v>50.0</v>
      </c>
      <c r="L51" s="15" t="s">
        <v>356</v>
      </c>
      <c r="M51" s="15" t="s">
        <v>16</v>
      </c>
      <c r="N51" s="16" t="s">
        <v>17</v>
      </c>
      <c r="O51" s="7"/>
      <c r="P51" s="12">
        <v>154.0</v>
      </c>
      <c r="Q51" s="32" t="s">
        <v>357</v>
      </c>
      <c r="R51" s="32" t="s">
        <v>116</v>
      </c>
      <c r="S51" s="14" t="s">
        <v>358</v>
      </c>
      <c r="T51" s="7"/>
      <c r="U51" s="12">
        <v>258.0</v>
      </c>
      <c r="V51" s="23" t="s">
        <v>359</v>
      </c>
      <c r="W51" s="23" t="s">
        <v>41</v>
      </c>
      <c r="X51" s="14" t="s">
        <v>360</v>
      </c>
    </row>
    <row r="52" ht="12.75" customHeight="1">
      <c r="E52" s="7"/>
      <c r="F52" s="12">
        <v>42.0</v>
      </c>
      <c r="G52" s="21" t="s">
        <v>361</v>
      </c>
      <c r="H52" s="21" t="s">
        <v>32</v>
      </c>
      <c r="I52" s="16" t="s">
        <v>17</v>
      </c>
      <c r="J52" s="7"/>
      <c r="K52" s="12">
        <v>51.0</v>
      </c>
      <c r="L52" s="15" t="s">
        <v>362</v>
      </c>
      <c r="M52" s="15" t="s">
        <v>16</v>
      </c>
      <c r="N52" s="16" t="s">
        <v>17</v>
      </c>
      <c r="O52" s="7"/>
      <c r="P52" s="12">
        <v>155.0</v>
      </c>
      <c r="Q52" s="32" t="s">
        <v>363</v>
      </c>
      <c r="R52" s="32" t="s">
        <v>116</v>
      </c>
      <c r="S52" s="14" t="s">
        <v>358</v>
      </c>
      <c r="T52" s="7"/>
      <c r="U52" s="12">
        <v>259.0</v>
      </c>
      <c r="V52" s="23" t="s">
        <v>364</v>
      </c>
      <c r="W52" s="23" t="s">
        <v>41</v>
      </c>
      <c r="X52" s="16" t="s">
        <v>17</v>
      </c>
    </row>
    <row r="53" ht="12.75" customHeight="1">
      <c r="A53" s="5" t="s">
        <v>3</v>
      </c>
      <c r="B53" s="5" t="s">
        <v>365</v>
      </c>
      <c r="C53" s="5" t="s">
        <v>5</v>
      </c>
      <c r="D53" s="6" t="s">
        <v>6</v>
      </c>
      <c r="E53" s="7"/>
      <c r="F53" s="12">
        <v>43.0</v>
      </c>
      <c r="G53" s="21" t="s">
        <v>366</v>
      </c>
      <c r="H53" s="21" t="s">
        <v>32</v>
      </c>
      <c r="I53" s="16" t="s">
        <v>17</v>
      </c>
      <c r="J53" s="7"/>
      <c r="K53" s="12">
        <v>52.0</v>
      </c>
      <c r="L53" s="15" t="s">
        <v>367</v>
      </c>
      <c r="M53" s="15" t="s">
        <v>16</v>
      </c>
      <c r="N53" s="16" t="s">
        <v>17</v>
      </c>
      <c r="O53" s="7"/>
      <c r="P53" s="12">
        <v>156.0</v>
      </c>
      <c r="Q53" s="32" t="s">
        <v>368</v>
      </c>
      <c r="R53" s="32" t="s">
        <v>116</v>
      </c>
      <c r="S53" s="14" t="s">
        <v>369</v>
      </c>
      <c r="T53" s="7"/>
      <c r="U53" s="12">
        <v>260.0</v>
      </c>
      <c r="V53" s="23" t="s">
        <v>370</v>
      </c>
      <c r="W53" s="23" t="s">
        <v>41</v>
      </c>
      <c r="X53" s="16" t="s">
        <v>17</v>
      </c>
    </row>
    <row r="54" ht="12.75" customHeight="1">
      <c r="A54" s="12">
        <v>1.0</v>
      </c>
      <c r="B54" s="13" t="s">
        <v>371</v>
      </c>
      <c r="C54" s="13" t="s">
        <v>11</v>
      </c>
      <c r="D54" s="16" t="s">
        <v>17</v>
      </c>
      <c r="E54" s="7"/>
      <c r="F54" s="12">
        <v>44.0</v>
      </c>
      <c r="G54" s="32" t="s">
        <v>372</v>
      </c>
      <c r="H54" s="32" t="s">
        <v>116</v>
      </c>
      <c r="I54" s="16" t="s">
        <v>17</v>
      </c>
      <c r="J54" s="7"/>
      <c r="K54" s="12">
        <v>53.0</v>
      </c>
      <c r="L54" s="15" t="s">
        <v>373</v>
      </c>
      <c r="M54" s="15" t="s">
        <v>16</v>
      </c>
      <c r="N54" s="16" t="s">
        <v>17</v>
      </c>
      <c r="O54" s="7"/>
      <c r="P54" s="12">
        <v>157.0</v>
      </c>
      <c r="Q54" s="32" t="s">
        <v>374</v>
      </c>
      <c r="R54" s="32" t="s">
        <v>116</v>
      </c>
      <c r="S54" s="16" t="s">
        <v>17</v>
      </c>
      <c r="T54" s="7"/>
      <c r="U54" s="12">
        <v>261.0</v>
      </c>
      <c r="V54" s="23" t="s">
        <v>375</v>
      </c>
      <c r="W54" s="23" t="s">
        <v>41</v>
      </c>
      <c r="X54" s="16" t="s">
        <v>17</v>
      </c>
    </row>
    <row r="55" ht="12.75" customHeight="1">
      <c r="A55" s="12">
        <v>2.0</v>
      </c>
      <c r="B55" s="18" t="s">
        <v>376</v>
      </c>
      <c r="C55" s="18" t="s">
        <v>22</v>
      </c>
      <c r="D55" s="16" t="s">
        <v>17</v>
      </c>
      <c r="E55" s="7"/>
      <c r="F55" s="12">
        <v>45.0</v>
      </c>
      <c r="G55" s="32" t="s">
        <v>377</v>
      </c>
      <c r="H55" s="32" t="s">
        <v>116</v>
      </c>
      <c r="I55" s="34" t="s">
        <v>378</v>
      </c>
      <c r="J55" s="7"/>
      <c r="K55" s="12">
        <v>54.0</v>
      </c>
      <c r="L55" s="15" t="s">
        <v>379</v>
      </c>
      <c r="M55" s="15" t="s">
        <v>16</v>
      </c>
      <c r="N55" s="14" t="s">
        <v>380</v>
      </c>
      <c r="O55" s="7"/>
      <c r="P55" s="12">
        <v>158.0</v>
      </c>
      <c r="Q55" s="32" t="s">
        <v>381</v>
      </c>
      <c r="R55" s="32" t="s">
        <v>116</v>
      </c>
      <c r="S55" s="14" t="s">
        <v>382</v>
      </c>
      <c r="T55" s="7"/>
      <c r="U55" s="12">
        <v>262.0</v>
      </c>
      <c r="V55" s="23" t="s">
        <v>383</v>
      </c>
      <c r="W55" s="23" t="s">
        <v>41</v>
      </c>
      <c r="X55" s="16" t="s">
        <v>17</v>
      </c>
    </row>
    <row r="56" ht="12.75" customHeight="1">
      <c r="A56" s="12">
        <v>3.0</v>
      </c>
      <c r="B56" s="13" t="s">
        <v>384</v>
      </c>
      <c r="C56" s="13" t="s">
        <v>11</v>
      </c>
      <c r="D56" s="16" t="s">
        <v>17</v>
      </c>
      <c r="E56" s="7"/>
      <c r="F56" s="12">
        <v>46.0</v>
      </c>
      <c r="G56" s="32" t="s">
        <v>385</v>
      </c>
      <c r="H56" s="32" t="s">
        <v>116</v>
      </c>
      <c r="I56" s="16" t="s">
        <v>17</v>
      </c>
      <c r="J56" s="7"/>
      <c r="K56" s="12">
        <v>55.0</v>
      </c>
      <c r="L56" s="15" t="s">
        <v>386</v>
      </c>
      <c r="M56" s="15" t="s">
        <v>16</v>
      </c>
      <c r="N56" s="16" t="s">
        <v>17</v>
      </c>
      <c r="O56" s="7"/>
      <c r="P56" s="12">
        <v>159.0</v>
      </c>
      <c r="Q56" s="32" t="s">
        <v>387</v>
      </c>
      <c r="R56" s="32" t="s">
        <v>116</v>
      </c>
      <c r="S56" s="16" t="s">
        <v>17</v>
      </c>
      <c r="T56" s="7"/>
      <c r="U56" s="12">
        <v>263.0</v>
      </c>
      <c r="V56" s="23" t="s">
        <v>388</v>
      </c>
      <c r="W56" s="23" t="s">
        <v>41</v>
      </c>
      <c r="X56" s="14" t="s">
        <v>389</v>
      </c>
    </row>
    <row r="57" ht="12.75" customHeight="1">
      <c r="A57" s="12">
        <v>4.0</v>
      </c>
      <c r="B57" s="18" t="s">
        <v>390</v>
      </c>
      <c r="C57" s="18" t="s">
        <v>22</v>
      </c>
      <c r="D57" s="16" t="s">
        <v>17</v>
      </c>
      <c r="E57" s="7"/>
      <c r="F57" s="12">
        <v>47.0</v>
      </c>
      <c r="G57" s="32" t="s">
        <v>391</v>
      </c>
      <c r="H57" s="32" t="s">
        <v>116</v>
      </c>
      <c r="I57" s="16" t="s">
        <v>17</v>
      </c>
      <c r="J57" s="7"/>
      <c r="K57" s="12">
        <v>56.0</v>
      </c>
      <c r="L57" s="47" t="s">
        <v>392</v>
      </c>
      <c r="M57" s="47" t="s">
        <v>16</v>
      </c>
      <c r="N57" s="14" t="s">
        <v>393</v>
      </c>
      <c r="O57" s="7"/>
      <c r="P57" s="12">
        <v>160.0</v>
      </c>
      <c r="Q57" s="43" t="s">
        <v>394</v>
      </c>
      <c r="R57" s="43" t="s">
        <v>116</v>
      </c>
      <c r="S57" s="16" t="s">
        <v>17</v>
      </c>
      <c r="T57" s="7"/>
      <c r="U57" s="12">
        <v>264.0</v>
      </c>
      <c r="V57" s="48" t="s">
        <v>395</v>
      </c>
      <c r="W57" s="48" t="s">
        <v>41</v>
      </c>
      <c r="X57" s="14" t="s">
        <v>396</v>
      </c>
    </row>
    <row r="58" ht="12.75" customHeight="1">
      <c r="A58" s="12">
        <v>5.0</v>
      </c>
      <c r="B58" s="18" t="s">
        <v>397</v>
      </c>
      <c r="C58" s="18" t="s">
        <v>22</v>
      </c>
      <c r="D58" s="16" t="s">
        <v>17</v>
      </c>
      <c r="E58" s="7"/>
      <c r="F58" s="12">
        <v>48.0</v>
      </c>
      <c r="G58" s="43" t="s">
        <v>398</v>
      </c>
      <c r="H58" s="43" t="s">
        <v>116</v>
      </c>
      <c r="I58" s="16" t="s">
        <v>17</v>
      </c>
      <c r="J58" s="7"/>
      <c r="K58" s="12">
        <v>57.0</v>
      </c>
      <c r="L58" s="15" t="s">
        <v>399</v>
      </c>
      <c r="M58" s="15" t="s">
        <v>16</v>
      </c>
      <c r="N58" s="16" t="s">
        <v>17</v>
      </c>
      <c r="O58" s="7"/>
      <c r="P58" s="12">
        <v>161.0</v>
      </c>
      <c r="Q58" s="32" t="s">
        <v>400</v>
      </c>
      <c r="R58" s="32" t="s">
        <v>116</v>
      </c>
      <c r="S58" s="14" t="s">
        <v>401</v>
      </c>
      <c r="T58" s="7"/>
      <c r="U58" s="12">
        <v>265.0</v>
      </c>
      <c r="V58" s="23" t="s">
        <v>402</v>
      </c>
      <c r="W58" s="23" t="s">
        <v>41</v>
      </c>
      <c r="X58" s="14" t="s">
        <v>403</v>
      </c>
    </row>
    <row r="59" ht="12.75" customHeight="1">
      <c r="A59" s="12">
        <v>6.0</v>
      </c>
      <c r="B59" s="18" t="s">
        <v>404</v>
      </c>
      <c r="C59" s="18" t="s">
        <v>22</v>
      </c>
      <c r="D59" s="16" t="s">
        <v>17</v>
      </c>
      <c r="E59" s="7"/>
      <c r="F59" s="12">
        <v>49.0</v>
      </c>
      <c r="G59" s="32" t="s">
        <v>405</v>
      </c>
      <c r="H59" s="32" t="s">
        <v>116</v>
      </c>
      <c r="I59" s="16" t="s">
        <v>17</v>
      </c>
      <c r="J59" s="7"/>
      <c r="K59" s="12">
        <v>58.0</v>
      </c>
      <c r="L59" s="15" t="s">
        <v>406</v>
      </c>
      <c r="M59" s="15" t="s">
        <v>16</v>
      </c>
      <c r="N59" s="16" t="s">
        <v>17</v>
      </c>
      <c r="O59" s="7"/>
      <c r="P59" s="12">
        <v>162.0</v>
      </c>
      <c r="Q59" s="32" t="s">
        <v>407</v>
      </c>
      <c r="R59" s="32" t="s">
        <v>116</v>
      </c>
      <c r="S59" s="16" t="s">
        <v>17</v>
      </c>
      <c r="T59" s="7"/>
      <c r="U59" s="12">
        <v>266.0</v>
      </c>
      <c r="V59" s="23" t="s">
        <v>408</v>
      </c>
      <c r="W59" s="23" t="s">
        <v>41</v>
      </c>
      <c r="X59" s="14" t="s">
        <v>409</v>
      </c>
    </row>
    <row r="60" ht="12.75" customHeight="1">
      <c r="A60" s="12">
        <v>7.0</v>
      </c>
      <c r="B60" s="18" t="s">
        <v>410</v>
      </c>
      <c r="C60" s="18" t="s">
        <v>22</v>
      </c>
      <c r="D60" s="16" t="s">
        <v>17</v>
      </c>
      <c r="E60" s="7"/>
      <c r="F60" s="12">
        <v>50.0</v>
      </c>
      <c r="G60" s="32" t="s">
        <v>411</v>
      </c>
      <c r="H60" s="32" t="s">
        <v>116</v>
      </c>
      <c r="I60" s="16" t="s">
        <v>17</v>
      </c>
      <c r="J60" s="7"/>
      <c r="K60" s="12">
        <v>59.0</v>
      </c>
      <c r="L60" s="15" t="s">
        <v>412</v>
      </c>
      <c r="M60" s="15" t="s">
        <v>16</v>
      </c>
      <c r="N60" s="16" t="s">
        <v>17</v>
      </c>
      <c r="O60" s="7"/>
      <c r="P60" s="12">
        <v>163.0</v>
      </c>
      <c r="Q60" s="32" t="s">
        <v>413</v>
      </c>
      <c r="R60" s="32" t="s">
        <v>116</v>
      </c>
      <c r="S60" s="14" t="s">
        <v>414</v>
      </c>
      <c r="T60" s="7"/>
      <c r="U60" s="12">
        <v>267.0</v>
      </c>
      <c r="V60" s="23" t="s">
        <v>415</v>
      </c>
      <c r="W60" s="23" t="s">
        <v>41</v>
      </c>
      <c r="X60" s="14" t="s">
        <v>416</v>
      </c>
    </row>
    <row r="61" ht="12.75" customHeight="1">
      <c r="A61" s="12">
        <v>8.0</v>
      </c>
      <c r="B61" s="33" t="s">
        <v>417</v>
      </c>
      <c r="C61" s="33" t="s">
        <v>22</v>
      </c>
      <c r="D61" s="16" t="s">
        <v>17</v>
      </c>
      <c r="E61" s="7"/>
      <c r="F61" s="12">
        <v>51.0</v>
      </c>
      <c r="G61" s="32" t="s">
        <v>418</v>
      </c>
      <c r="H61" s="32" t="s">
        <v>116</v>
      </c>
      <c r="I61" s="16" t="s">
        <v>17</v>
      </c>
      <c r="J61" s="7"/>
      <c r="K61" s="12">
        <v>60.0</v>
      </c>
      <c r="L61" s="44" t="s">
        <v>419</v>
      </c>
      <c r="M61" s="15" t="s">
        <v>16</v>
      </c>
      <c r="N61" s="14" t="s">
        <v>420</v>
      </c>
      <c r="O61" s="7"/>
      <c r="P61" s="12">
        <v>164.0</v>
      </c>
      <c r="Q61" s="32" t="s">
        <v>421</v>
      </c>
      <c r="R61" s="32" t="s">
        <v>116</v>
      </c>
      <c r="S61" s="14" t="s">
        <v>422</v>
      </c>
      <c r="T61" s="7"/>
      <c r="U61" s="12">
        <v>268.0</v>
      </c>
      <c r="V61" s="14" t="s">
        <v>423</v>
      </c>
      <c r="W61" s="14" t="s">
        <v>136</v>
      </c>
      <c r="X61" s="14" t="s">
        <v>424</v>
      </c>
    </row>
    <row r="62" ht="12.75" customHeight="1">
      <c r="A62" s="12">
        <v>9.0</v>
      </c>
      <c r="B62" s="18" t="s">
        <v>425</v>
      </c>
      <c r="C62" s="18" t="s">
        <v>22</v>
      </c>
      <c r="D62" s="16" t="s">
        <v>17</v>
      </c>
      <c r="E62" s="7"/>
      <c r="F62" s="12">
        <v>52.0</v>
      </c>
      <c r="G62" s="32" t="s">
        <v>426</v>
      </c>
      <c r="H62" s="32" t="s">
        <v>116</v>
      </c>
      <c r="I62" s="14" t="s">
        <v>427</v>
      </c>
      <c r="J62" s="7"/>
      <c r="K62" s="12">
        <v>61.0</v>
      </c>
      <c r="L62" s="15" t="s">
        <v>428</v>
      </c>
      <c r="M62" s="15" t="s">
        <v>16</v>
      </c>
      <c r="N62" s="16" t="s">
        <v>17</v>
      </c>
      <c r="O62" s="7"/>
      <c r="P62" s="12">
        <v>165.0</v>
      </c>
      <c r="Q62" s="32" t="s">
        <v>429</v>
      </c>
      <c r="R62" s="32" t="s">
        <v>116</v>
      </c>
      <c r="S62" s="14" t="s">
        <v>430</v>
      </c>
      <c r="T62" s="7"/>
      <c r="U62" s="12">
        <v>269.0</v>
      </c>
      <c r="V62" s="14" t="s">
        <v>431</v>
      </c>
      <c r="W62" s="14" t="s">
        <v>136</v>
      </c>
      <c r="X62" s="14" t="s">
        <v>432</v>
      </c>
    </row>
    <row r="63" ht="12.75" customHeight="1">
      <c r="A63" s="12">
        <v>10.0</v>
      </c>
      <c r="B63" s="18" t="s">
        <v>433</v>
      </c>
      <c r="C63" s="18" t="s">
        <v>22</v>
      </c>
      <c r="D63" s="16" t="s">
        <v>17</v>
      </c>
      <c r="E63" s="7"/>
      <c r="F63" s="12">
        <v>53.0</v>
      </c>
      <c r="G63" s="32" t="s">
        <v>434</v>
      </c>
      <c r="H63" s="32" t="s">
        <v>116</v>
      </c>
      <c r="I63" s="14" t="s">
        <v>435</v>
      </c>
      <c r="J63" s="7"/>
      <c r="K63" s="12">
        <v>62.0</v>
      </c>
      <c r="L63" s="15" t="s">
        <v>436</v>
      </c>
      <c r="M63" s="15" t="s">
        <v>16</v>
      </c>
      <c r="N63" s="16" t="s">
        <v>17</v>
      </c>
      <c r="O63" s="7"/>
      <c r="P63" s="12">
        <v>166.0</v>
      </c>
      <c r="Q63" s="32" t="s">
        <v>437</v>
      </c>
      <c r="R63" s="32" t="s">
        <v>116</v>
      </c>
      <c r="S63" s="16" t="s">
        <v>17</v>
      </c>
      <c r="T63" s="7"/>
      <c r="U63" s="12">
        <v>270.0</v>
      </c>
      <c r="V63" s="14" t="s">
        <v>438</v>
      </c>
      <c r="W63" s="14" t="s">
        <v>136</v>
      </c>
      <c r="X63" s="14" t="s">
        <v>439</v>
      </c>
    </row>
    <row r="64" ht="12.75" customHeight="1">
      <c r="A64" s="12">
        <v>11.0</v>
      </c>
      <c r="B64" s="49" t="s">
        <v>440</v>
      </c>
      <c r="C64" s="15" t="s">
        <v>16</v>
      </c>
      <c r="D64" s="14" t="s">
        <v>441</v>
      </c>
      <c r="E64" s="7"/>
      <c r="F64" s="12">
        <v>54.0</v>
      </c>
      <c r="G64" s="32" t="s">
        <v>442</v>
      </c>
      <c r="H64" s="32" t="s">
        <v>116</v>
      </c>
      <c r="I64" s="16" t="s">
        <v>17</v>
      </c>
      <c r="J64" s="7"/>
      <c r="K64" s="12">
        <v>63.0</v>
      </c>
      <c r="L64" s="44" t="s">
        <v>443</v>
      </c>
      <c r="M64" s="15" t="s">
        <v>16</v>
      </c>
      <c r="N64" s="14" t="s">
        <v>444</v>
      </c>
      <c r="O64" s="7"/>
      <c r="P64" s="12">
        <v>167.0</v>
      </c>
      <c r="Q64" s="32" t="s">
        <v>445</v>
      </c>
      <c r="R64" s="32" t="s">
        <v>116</v>
      </c>
      <c r="S64" s="16" t="s">
        <v>17</v>
      </c>
      <c r="T64" s="7"/>
      <c r="U64" s="12">
        <v>271.0</v>
      </c>
      <c r="V64" s="14" t="s">
        <v>446</v>
      </c>
      <c r="W64" s="14" t="s">
        <v>136</v>
      </c>
      <c r="X64" s="16" t="s">
        <v>17</v>
      </c>
    </row>
    <row r="65" ht="12.75" customHeight="1">
      <c r="A65" s="12">
        <v>12.0</v>
      </c>
      <c r="B65" s="15" t="s">
        <v>447</v>
      </c>
      <c r="C65" s="15" t="s">
        <v>16</v>
      </c>
      <c r="D65" s="16" t="s">
        <v>17</v>
      </c>
      <c r="E65" s="7"/>
      <c r="F65" s="12">
        <v>55.0</v>
      </c>
      <c r="G65" s="32" t="s">
        <v>448</v>
      </c>
      <c r="H65" s="32" t="s">
        <v>116</v>
      </c>
      <c r="I65" s="14" t="s">
        <v>449</v>
      </c>
      <c r="J65" s="7"/>
      <c r="K65" s="12">
        <v>64.0</v>
      </c>
      <c r="L65" s="29" t="s">
        <v>450</v>
      </c>
      <c r="M65" s="29" t="s">
        <v>16</v>
      </c>
      <c r="N65" s="14" t="s">
        <v>451</v>
      </c>
      <c r="O65" s="7"/>
      <c r="P65" s="12">
        <v>168.0</v>
      </c>
      <c r="Q65" s="43" t="s">
        <v>452</v>
      </c>
      <c r="R65" s="43" t="s">
        <v>116</v>
      </c>
      <c r="S65" s="16" t="s">
        <v>17</v>
      </c>
      <c r="T65" s="7"/>
      <c r="U65" s="12">
        <v>272.0</v>
      </c>
      <c r="V65" s="30" t="s">
        <v>453</v>
      </c>
      <c r="W65" s="30" t="s">
        <v>136</v>
      </c>
      <c r="X65" s="16" t="s">
        <v>17</v>
      </c>
    </row>
    <row r="66" ht="12.75" customHeight="1">
      <c r="A66" s="12">
        <v>13.0</v>
      </c>
      <c r="B66" s="15" t="s">
        <v>454</v>
      </c>
      <c r="C66" s="15" t="s">
        <v>16</v>
      </c>
      <c r="D66" s="16" t="s">
        <v>17</v>
      </c>
      <c r="E66" s="7"/>
      <c r="F66" s="12">
        <v>56.0</v>
      </c>
      <c r="G66" s="40" t="s">
        <v>455</v>
      </c>
      <c r="H66" s="40" t="s">
        <v>50</v>
      </c>
      <c r="I66" s="50" t="s">
        <v>17</v>
      </c>
      <c r="J66" s="7"/>
      <c r="K66" s="12">
        <v>65.0</v>
      </c>
      <c r="L66" s="44" t="s">
        <v>456</v>
      </c>
      <c r="M66" s="15" t="s">
        <v>16</v>
      </c>
      <c r="N66" s="14" t="s">
        <v>457</v>
      </c>
      <c r="O66" s="7"/>
      <c r="P66" s="12">
        <v>169.0</v>
      </c>
      <c r="Q66" s="32" t="s">
        <v>458</v>
      </c>
      <c r="R66" s="32" t="s">
        <v>116</v>
      </c>
      <c r="S66" s="16" t="s">
        <v>17</v>
      </c>
      <c r="T66" s="7"/>
      <c r="U66" s="12">
        <v>273.0</v>
      </c>
      <c r="V66" s="14" t="s">
        <v>459</v>
      </c>
      <c r="W66" s="14" t="s">
        <v>136</v>
      </c>
      <c r="X66" s="14" t="s">
        <v>460</v>
      </c>
    </row>
    <row r="67" ht="12.75" customHeight="1">
      <c r="A67" s="12">
        <v>14.0</v>
      </c>
      <c r="B67" s="15" t="s">
        <v>461</v>
      </c>
      <c r="C67" s="15" t="s">
        <v>16</v>
      </c>
      <c r="D67" s="16" t="s">
        <v>17</v>
      </c>
      <c r="E67" s="7"/>
      <c r="F67" s="12">
        <v>57.0</v>
      </c>
      <c r="G67" s="24" t="s">
        <v>462</v>
      </c>
      <c r="H67" s="24" t="s">
        <v>50</v>
      </c>
      <c r="I67" s="50" t="s">
        <v>17</v>
      </c>
      <c r="J67" s="7"/>
      <c r="K67" s="12">
        <v>66.0</v>
      </c>
      <c r="L67" s="15" t="s">
        <v>463</v>
      </c>
      <c r="M67" s="15" t="s">
        <v>16</v>
      </c>
      <c r="N67" s="14" t="s">
        <v>464</v>
      </c>
      <c r="O67" s="7"/>
      <c r="P67" s="12">
        <v>170.0</v>
      </c>
      <c r="Q67" s="32" t="s">
        <v>465</v>
      </c>
      <c r="R67" s="32" t="s">
        <v>116</v>
      </c>
      <c r="S67" s="16" t="s">
        <v>17</v>
      </c>
      <c r="T67" s="7"/>
      <c r="U67" s="12">
        <v>274.0</v>
      </c>
      <c r="V67" s="14" t="s">
        <v>466</v>
      </c>
      <c r="W67" s="14" t="s">
        <v>136</v>
      </c>
      <c r="X67" s="16" t="s">
        <v>17</v>
      </c>
    </row>
    <row r="68" ht="12.75" customHeight="1">
      <c r="A68" s="12">
        <v>15.0</v>
      </c>
      <c r="B68" s="49" t="s">
        <v>467</v>
      </c>
      <c r="C68" s="15" t="s">
        <v>16</v>
      </c>
      <c r="D68" s="16" t="s">
        <v>17</v>
      </c>
      <c r="E68" s="7"/>
      <c r="F68" s="12">
        <v>58.0</v>
      </c>
      <c r="G68" s="24" t="s">
        <v>468</v>
      </c>
      <c r="H68" s="24" t="s">
        <v>50</v>
      </c>
      <c r="I68" s="50" t="s">
        <v>17</v>
      </c>
      <c r="J68" s="7"/>
      <c r="K68" s="12">
        <v>67.0</v>
      </c>
      <c r="L68" s="15" t="s">
        <v>469</v>
      </c>
      <c r="M68" s="15" t="s">
        <v>16</v>
      </c>
      <c r="N68" s="16" t="s">
        <v>17</v>
      </c>
      <c r="O68" s="7"/>
      <c r="P68" s="12">
        <v>171.0</v>
      </c>
      <c r="Q68" s="51" t="s">
        <v>470</v>
      </c>
      <c r="R68" s="32" t="s">
        <v>116</v>
      </c>
      <c r="S68" s="16" t="s">
        <v>471</v>
      </c>
      <c r="T68" s="7"/>
      <c r="U68" s="12">
        <v>275.0</v>
      </c>
      <c r="V68" s="14" t="s">
        <v>472</v>
      </c>
      <c r="W68" s="14" t="s">
        <v>136</v>
      </c>
      <c r="X68" s="16" t="s">
        <v>17</v>
      </c>
    </row>
    <row r="69" ht="12.75" customHeight="1">
      <c r="A69" s="12">
        <v>16.0</v>
      </c>
      <c r="B69" s="29" t="s">
        <v>473</v>
      </c>
      <c r="C69" s="29" t="s">
        <v>16</v>
      </c>
      <c r="D69" s="16" t="s">
        <v>17</v>
      </c>
      <c r="E69" s="7"/>
      <c r="F69" s="12">
        <v>59.0</v>
      </c>
      <c r="G69" s="24" t="s">
        <v>474</v>
      </c>
      <c r="H69" s="24" t="s">
        <v>50</v>
      </c>
      <c r="I69" s="50" t="s">
        <v>17</v>
      </c>
      <c r="J69" s="7"/>
      <c r="K69" s="12">
        <v>68.0</v>
      </c>
      <c r="L69" s="15" t="s">
        <v>475</v>
      </c>
      <c r="M69" s="15" t="s">
        <v>16</v>
      </c>
      <c r="N69" s="14" t="s">
        <v>476</v>
      </c>
      <c r="O69" s="7"/>
      <c r="P69" s="12">
        <v>172.0</v>
      </c>
      <c r="Q69" s="32" t="s">
        <v>477</v>
      </c>
      <c r="R69" s="32" t="s">
        <v>116</v>
      </c>
      <c r="S69" s="16" t="s">
        <v>17</v>
      </c>
      <c r="T69" s="7"/>
      <c r="U69" s="12">
        <v>276.0</v>
      </c>
      <c r="V69" s="14" t="s">
        <v>478</v>
      </c>
      <c r="W69" s="14" t="s">
        <v>136</v>
      </c>
      <c r="X69" s="16" t="s">
        <v>17</v>
      </c>
    </row>
    <row r="70" ht="12.75" customHeight="1">
      <c r="A70" s="12">
        <v>17.0</v>
      </c>
      <c r="B70" s="15" t="s">
        <v>479</v>
      </c>
      <c r="C70" s="15" t="s">
        <v>16</v>
      </c>
      <c r="D70" s="16" t="s">
        <v>17</v>
      </c>
      <c r="E70" s="7"/>
      <c r="F70" s="12">
        <v>60.0</v>
      </c>
      <c r="G70" s="24" t="s">
        <v>480</v>
      </c>
      <c r="H70" s="24" t="s">
        <v>50</v>
      </c>
      <c r="I70" s="50" t="s">
        <v>17</v>
      </c>
      <c r="J70" s="7"/>
      <c r="K70" s="12">
        <v>69.0</v>
      </c>
      <c r="L70" s="15" t="s">
        <v>481</v>
      </c>
      <c r="M70" s="15" t="s">
        <v>16</v>
      </c>
      <c r="N70" s="14" t="s">
        <v>482</v>
      </c>
      <c r="O70" s="7"/>
      <c r="P70" s="12">
        <v>173.0</v>
      </c>
      <c r="Q70" s="32" t="s">
        <v>483</v>
      </c>
      <c r="R70" s="32" t="s">
        <v>116</v>
      </c>
      <c r="S70" s="16" t="s">
        <v>17</v>
      </c>
      <c r="T70" s="7"/>
      <c r="U70" s="12">
        <v>277.0</v>
      </c>
      <c r="V70" s="14" t="s">
        <v>484</v>
      </c>
      <c r="W70" s="14" t="s">
        <v>136</v>
      </c>
      <c r="X70" s="16" t="s">
        <v>17</v>
      </c>
    </row>
    <row r="71" ht="12.75" customHeight="1">
      <c r="A71" s="12">
        <v>18.0</v>
      </c>
      <c r="B71" s="15" t="s">
        <v>485</v>
      </c>
      <c r="C71" s="15" t="s">
        <v>16</v>
      </c>
      <c r="D71" s="16" t="s">
        <v>17</v>
      </c>
      <c r="E71" s="7"/>
      <c r="F71" s="12">
        <v>61.0</v>
      </c>
      <c r="G71" s="24" t="s">
        <v>486</v>
      </c>
      <c r="H71" s="24" t="s">
        <v>50</v>
      </c>
      <c r="I71" s="14" t="s">
        <v>487</v>
      </c>
      <c r="J71" s="7"/>
      <c r="K71" s="12">
        <v>70.0</v>
      </c>
      <c r="L71" s="15" t="s">
        <v>488</v>
      </c>
      <c r="M71" s="15" t="s">
        <v>16</v>
      </c>
      <c r="N71" s="14" t="s">
        <v>489</v>
      </c>
      <c r="O71" s="7"/>
      <c r="P71" s="12">
        <v>174.0</v>
      </c>
      <c r="Q71" s="32" t="s">
        <v>490</v>
      </c>
      <c r="R71" s="32" t="s">
        <v>116</v>
      </c>
      <c r="S71" s="16" t="s">
        <v>17</v>
      </c>
      <c r="T71" s="7"/>
      <c r="U71" s="12">
        <v>278.0</v>
      </c>
      <c r="V71" s="14" t="s">
        <v>491</v>
      </c>
      <c r="W71" s="14" t="s">
        <v>136</v>
      </c>
      <c r="X71" s="14" t="s">
        <v>492</v>
      </c>
    </row>
    <row r="72" ht="12.75" customHeight="1">
      <c r="A72" s="12">
        <v>19.0</v>
      </c>
      <c r="B72" s="15" t="s">
        <v>493</v>
      </c>
      <c r="C72" s="15" t="s">
        <v>16</v>
      </c>
      <c r="D72" s="16" t="s">
        <v>17</v>
      </c>
      <c r="E72" s="7"/>
      <c r="F72" s="12">
        <v>62.0</v>
      </c>
      <c r="G72" s="24" t="s">
        <v>494</v>
      </c>
      <c r="H72" s="24" t="s">
        <v>50</v>
      </c>
      <c r="I72" s="14" t="s">
        <v>495</v>
      </c>
      <c r="J72" s="7"/>
      <c r="K72" s="12">
        <v>71.0</v>
      </c>
      <c r="L72" s="15" t="s">
        <v>496</v>
      </c>
      <c r="M72" s="15" t="s">
        <v>16</v>
      </c>
      <c r="N72" s="16" t="s">
        <v>17</v>
      </c>
      <c r="O72" s="7"/>
      <c r="P72" s="12">
        <v>175.0</v>
      </c>
      <c r="Q72" s="32" t="s">
        <v>497</v>
      </c>
      <c r="R72" s="32" t="s">
        <v>116</v>
      </c>
      <c r="S72" s="16" t="s">
        <v>498</v>
      </c>
      <c r="T72" s="7"/>
      <c r="U72" s="12">
        <v>279.0</v>
      </c>
      <c r="V72" s="15" t="s">
        <v>499</v>
      </c>
      <c r="W72" s="15" t="s">
        <v>16</v>
      </c>
      <c r="X72" s="16" t="s">
        <v>17</v>
      </c>
    </row>
    <row r="73" ht="12.75" customHeight="1">
      <c r="A73" s="12">
        <v>20.0</v>
      </c>
      <c r="B73" s="15" t="s">
        <v>500</v>
      </c>
      <c r="C73" s="15" t="s">
        <v>16</v>
      </c>
      <c r="D73" s="16" t="s">
        <v>17</v>
      </c>
      <c r="E73" s="7"/>
      <c r="F73" s="12">
        <v>63.0</v>
      </c>
      <c r="G73" s="24" t="s">
        <v>501</v>
      </c>
      <c r="H73" s="24" t="s">
        <v>50</v>
      </c>
      <c r="I73" s="50" t="s">
        <v>17</v>
      </c>
      <c r="J73" s="7"/>
      <c r="K73" s="12">
        <v>72.0</v>
      </c>
      <c r="L73" s="29" t="s">
        <v>502</v>
      </c>
      <c r="M73" s="29" t="s">
        <v>16</v>
      </c>
      <c r="N73" s="16" t="s">
        <v>17</v>
      </c>
      <c r="O73" s="7"/>
      <c r="P73" s="12">
        <v>176.0</v>
      </c>
      <c r="Q73" s="43" t="s">
        <v>503</v>
      </c>
      <c r="R73" s="43" t="s">
        <v>116</v>
      </c>
      <c r="S73" s="14" t="s">
        <v>504</v>
      </c>
      <c r="T73" s="7"/>
      <c r="U73" s="12">
        <v>280.0</v>
      </c>
      <c r="V73" s="29" t="s">
        <v>505</v>
      </c>
      <c r="W73" s="29" t="s">
        <v>16</v>
      </c>
      <c r="X73" s="16" t="s">
        <v>17</v>
      </c>
    </row>
    <row r="74" ht="12.75" customHeight="1">
      <c r="A74" s="12">
        <v>21.0</v>
      </c>
      <c r="B74" s="15" t="s">
        <v>506</v>
      </c>
      <c r="C74" s="15" t="s">
        <v>16</v>
      </c>
      <c r="D74" s="16" t="s">
        <v>17</v>
      </c>
      <c r="E74" s="7"/>
      <c r="F74" s="12">
        <v>64.0</v>
      </c>
      <c r="G74" s="40" t="s">
        <v>507</v>
      </c>
      <c r="H74" s="40" t="s">
        <v>50</v>
      </c>
      <c r="I74" s="50" t="s">
        <v>17</v>
      </c>
      <c r="J74" s="7"/>
      <c r="K74" s="12">
        <v>73.0</v>
      </c>
      <c r="L74" s="21" t="s">
        <v>508</v>
      </c>
      <c r="M74" s="21" t="s">
        <v>32</v>
      </c>
      <c r="N74" s="14" t="s">
        <v>509</v>
      </c>
      <c r="O74" s="7"/>
      <c r="P74" s="12">
        <v>177.0</v>
      </c>
      <c r="Q74" s="32" t="s">
        <v>510</v>
      </c>
      <c r="R74" s="32" t="s">
        <v>116</v>
      </c>
      <c r="S74" s="16" t="s">
        <v>17</v>
      </c>
      <c r="T74" s="7"/>
      <c r="U74" s="12">
        <v>281.0</v>
      </c>
      <c r="V74" s="24" t="s">
        <v>511</v>
      </c>
      <c r="W74" s="24" t="s">
        <v>50</v>
      </c>
      <c r="X74" s="16" t="s">
        <v>17</v>
      </c>
    </row>
    <row r="75" ht="12.75" customHeight="1">
      <c r="A75" s="12">
        <v>22.0</v>
      </c>
      <c r="B75" s="15" t="s">
        <v>512</v>
      </c>
      <c r="C75" s="15" t="s">
        <v>16</v>
      </c>
      <c r="D75" s="16" t="s">
        <v>17</v>
      </c>
      <c r="E75" s="7"/>
      <c r="F75" s="12">
        <v>65.0</v>
      </c>
      <c r="G75" s="23" t="s">
        <v>513</v>
      </c>
      <c r="H75" s="23" t="s">
        <v>41</v>
      </c>
      <c r="I75" s="14" t="s">
        <v>514</v>
      </c>
      <c r="J75" s="7"/>
      <c r="K75" s="12">
        <v>74.0</v>
      </c>
      <c r="L75" s="21" t="s">
        <v>515</v>
      </c>
      <c r="M75" s="21" t="s">
        <v>32</v>
      </c>
      <c r="N75" s="14" t="s">
        <v>516</v>
      </c>
      <c r="O75" s="7"/>
      <c r="P75" s="12">
        <v>178.0</v>
      </c>
      <c r="Q75" s="32" t="s">
        <v>517</v>
      </c>
      <c r="R75" s="32" t="s">
        <v>116</v>
      </c>
      <c r="S75" s="14" t="s">
        <v>518</v>
      </c>
      <c r="T75" s="7"/>
      <c r="U75" s="12">
        <v>282.0</v>
      </c>
      <c r="V75" s="14" t="s">
        <v>519</v>
      </c>
      <c r="W75" s="14" t="s">
        <v>136</v>
      </c>
      <c r="X75" s="16" t="s">
        <v>17</v>
      </c>
    </row>
    <row r="76" ht="12.75" customHeight="1">
      <c r="A76" s="12">
        <v>23.0</v>
      </c>
      <c r="B76" s="15" t="s">
        <v>520</v>
      </c>
      <c r="C76" s="15" t="s">
        <v>16</v>
      </c>
      <c r="D76" s="16" t="s">
        <v>17</v>
      </c>
      <c r="E76" s="7"/>
      <c r="F76" s="12">
        <v>66.0</v>
      </c>
      <c r="G76" s="23" t="s">
        <v>521</v>
      </c>
      <c r="H76" s="23" t="s">
        <v>41</v>
      </c>
      <c r="I76" s="50" t="s">
        <v>17</v>
      </c>
      <c r="J76" s="7"/>
      <c r="K76" s="12">
        <v>75.0</v>
      </c>
      <c r="L76" s="13" t="s">
        <v>522</v>
      </c>
      <c r="M76" s="13" t="s">
        <v>11</v>
      </c>
      <c r="N76" s="14" t="s">
        <v>523</v>
      </c>
      <c r="O76" s="7"/>
      <c r="P76" s="12">
        <v>179.0</v>
      </c>
      <c r="Q76" s="32" t="s">
        <v>524</v>
      </c>
      <c r="R76" s="32" t="s">
        <v>116</v>
      </c>
      <c r="S76" s="14" t="s">
        <v>525</v>
      </c>
      <c r="T76" s="7"/>
      <c r="U76" s="12">
        <v>283.0</v>
      </c>
      <c r="V76" s="14" t="s">
        <v>526</v>
      </c>
      <c r="W76" s="14" t="s">
        <v>136</v>
      </c>
      <c r="X76" s="16" t="s">
        <v>17</v>
      </c>
    </row>
    <row r="77" ht="12.75" customHeight="1">
      <c r="A77" s="12">
        <v>24.0</v>
      </c>
      <c r="B77" s="29" t="s">
        <v>527</v>
      </c>
      <c r="C77" s="29" t="s">
        <v>16</v>
      </c>
      <c r="D77" s="16" t="s">
        <v>17</v>
      </c>
      <c r="E77" s="7"/>
      <c r="F77" s="12">
        <v>67.0</v>
      </c>
      <c r="G77" s="23" t="s">
        <v>528</v>
      </c>
      <c r="H77" s="23" t="s">
        <v>41</v>
      </c>
      <c r="I77" s="50" t="s">
        <v>17</v>
      </c>
      <c r="J77" s="7"/>
      <c r="K77" s="12">
        <v>76.0</v>
      </c>
      <c r="L77" s="13" t="s">
        <v>529</v>
      </c>
      <c r="M77" s="13" t="s">
        <v>11</v>
      </c>
      <c r="N77" s="16" t="s">
        <v>17</v>
      </c>
      <c r="O77" s="7"/>
      <c r="P77" s="12">
        <v>180.0</v>
      </c>
      <c r="Q77" s="32" t="s">
        <v>530</v>
      </c>
      <c r="R77" s="32" t="s">
        <v>116</v>
      </c>
      <c r="S77" s="14" t="s">
        <v>531</v>
      </c>
      <c r="T77" s="7"/>
      <c r="U77" s="12">
        <v>284.0</v>
      </c>
      <c r="V77" s="14" t="s">
        <v>532</v>
      </c>
      <c r="W77" s="14" t="s">
        <v>136</v>
      </c>
      <c r="X77" s="14" t="s">
        <v>533</v>
      </c>
    </row>
    <row r="78" ht="12.75" customHeight="1">
      <c r="A78" s="12">
        <v>25.0</v>
      </c>
      <c r="B78" s="21" t="s">
        <v>534</v>
      </c>
      <c r="C78" s="21" t="s">
        <v>32</v>
      </c>
      <c r="D78" s="16" t="s">
        <v>17</v>
      </c>
      <c r="E78" s="7"/>
      <c r="F78" s="12">
        <v>68.0</v>
      </c>
      <c r="G78" s="15" t="s">
        <v>535</v>
      </c>
      <c r="H78" s="15" t="s">
        <v>16</v>
      </c>
      <c r="I78" s="14" t="s">
        <v>536</v>
      </c>
      <c r="J78" s="7"/>
      <c r="K78" s="12">
        <v>77.0</v>
      </c>
      <c r="L78" s="19" t="s">
        <v>537</v>
      </c>
      <c r="M78" s="13" t="s">
        <v>11</v>
      </c>
      <c r="N78" s="16" t="s">
        <v>538</v>
      </c>
      <c r="O78" s="7"/>
      <c r="P78" s="12">
        <v>181.0</v>
      </c>
      <c r="Q78" s="32" t="s">
        <v>539</v>
      </c>
      <c r="R78" s="32" t="s">
        <v>116</v>
      </c>
      <c r="S78" s="14" t="s">
        <v>540</v>
      </c>
      <c r="T78" s="7"/>
      <c r="U78" s="12">
        <v>285.0</v>
      </c>
      <c r="V78" s="14" t="s">
        <v>541</v>
      </c>
      <c r="W78" s="14" t="s">
        <v>136</v>
      </c>
      <c r="X78" s="14" t="s">
        <v>542</v>
      </c>
    </row>
    <row r="79" ht="12.75" customHeight="1">
      <c r="A79" s="12">
        <v>26.0</v>
      </c>
      <c r="B79" s="21" t="s">
        <v>543</v>
      </c>
      <c r="C79" s="21" t="s">
        <v>32</v>
      </c>
      <c r="D79" s="16" t="s">
        <v>17</v>
      </c>
      <c r="E79" s="7"/>
      <c r="I79" s="5">
        <f>F78-COUNTIF(I11:I78,"---")</f>
        <v>24</v>
      </c>
      <c r="J79" s="7"/>
      <c r="K79" s="12">
        <v>78.0</v>
      </c>
      <c r="L79" s="19" t="s">
        <v>544</v>
      </c>
      <c r="M79" s="13" t="s">
        <v>11</v>
      </c>
      <c r="N79" s="16" t="s">
        <v>545</v>
      </c>
      <c r="O79" s="7"/>
      <c r="P79" s="12">
        <v>182.0</v>
      </c>
      <c r="Q79" s="32" t="s">
        <v>546</v>
      </c>
      <c r="R79" s="32" t="s">
        <v>116</v>
      </c>
      <c r="S79" s="14" t="s">
        <v>547</v>
      </c>
      <c r="T79" s="7"/>
      <c r="U79" s="12">
        <v>286.0</v>
      </c>
      <c r="V79" s="14" t="s">
        <v>548</v>
      </c>
      <c r="W79" s="14" t="s">
        <v>136</v>
      </c>
      <c r="X79" s="14" t="s">
        <v>549</v>
      </c>
    </row>
    <row r="80" ht="12.75" customHeight="1">
      <c r="A80" s="12">
        <v>27.0</v>
      </c>
      <c r="B80" s="21" t="s">
        <v>550</v>
      </c>
      <c r="C80" s="21" t="s">
        <v>32</v>
      </c>
      <c r="D80" s="16" t="s">
        <v>17</v>
      </c>
      <c r="E80" s="7"/>
      <c r="F80" s="45"/>
      <c r="G80" s="7"/>
      <c r="H80" s="46"/>
      <c r="I80" s="7"/>
      <c r="J80" s="7"/>
      <c r="K80" s="12">
        <v>79.0</v>
      </c>
      <c r="L80" s="13" t="s">
        <v>551</v>
      </c>
      <c r="M80" s="13" t="s">
        <v>11</v>
      </c>
      <c r="N80" s="16" t="s">
        <v>17</v>
      </c>
      <c r="O80" s="7"/>
      <c r="P80" s="12">
        <v>183.0</v>
      </c>
      <c r="Q80" s="32" t="s">
        <v>552</v>
      </c>
      <c r="R80" s="32" t="s">
        <v>116</v>
      </c>
      <c r="S80" s="14" t="s">
        <v>553</v>
      </c>
      <c r="T80" s="7"/>
      <c r="U80" s="12">
        <v>287.0</v>
      </c>
      <c r="V80" s="52" t="s">
        <v>554</v>
      </c>
      <c r="W80" s="53" t="s">
        <v>17</v>
      </c>
      <c r="X80" s="16" t="s">
        <v>17</v>
      </c>
    </row>
    <row r="81" ht="12.75" customHeight="1">
      <c r="A81" s="12">
        <v>28.0</v>
      </c>
      <c r="B81" s="32" t="s">
        <v>555</v>
      </c>
      <c r="C81" s="32" t="s">
        <v>116</v>
      </c>
      <c r="D81" s="16" t="s">
        <v>17</v>
      </c>
      <c r="E81" s="7"/>
      <c r="J81" s="7"/>
      <c r="K81" s="12">
        <v>80.0</v>
      </c>
      <c r="L81" s="28" t="s">
        <v>556</v>
      </c>
      <c r="M81" s="28" t="s">
        <v>11</v>
      </c>
      <c r="N81" s="14" t="s">
        <v>557</v>
      </c>
      <c r="O81" s="7"/>
      <c r="P81" s="12">
        <v>184.0</v>
      </c>
      <c r="Q81" s="43" t="s">
        <v>558</v>
      </c>
      <c r="R81" s="43" t="s">
        <v>116</v>
      </c>
      <c r="S81" s="16" t="s">
        <v>17</v>
      </c>
      <c r="T81" s="7"/>
      <c r="U81" s="12">
        <v>288.0</v>
      </c>
      <c r="V81" s="30" t="s">
        <v>559</v>
      </c>
      <c r="W81" s="54" t="s">
        <v>17</v>
      </c>
      <c r="X81" s="16" t="s">
        <v>17</v>
      </c>
    </row>
    <row r="82" ht="12.75" customHeight="1">
      <c r="A82" s="12">
        <v>29.0</v>
      </c>
      <c r="B82" s="32" t="s">
        <v>560</v>
      </c>
      <c r="C82" s="32" t="s">
        <v>116</v>
      </c>
      <c r="D82" s="16" t="s">
        <v>17</v>
      </c>
      <c r="E82" s="7"/>
      <c r="F82" s="12"/>
      <c r="G82" s="55" t="s">
        <v>561</v>
      </c>
      <c r="J82" s="7"/>
      <c r="K82" s="12">
        <v>81.0</v>
      </c>
      <c r="L82" s="21" t="s">
        <v>562</v>
      </c>
      <c r="M82" s="21" t="s">
        <v>32</v>
      </c>
      <c r="N82" s="14" t="s">
        <v>563</v>
      </c>
      <c r="O82" s="7"/>
      <c r="P82" s="12">
        <v>185.0</v>
      </c>
      <c r="Q82" s="32" t="s">
        <v>564</v>
      </c>
      <c r="R82" s="32" t="s">
        <v>116</v>
      </c>
      <c r="S82" s="16" t="s">
        <v>17</v>
      </c>
      <c r="T82" s="7"/>
      <c r="U82" s="12">
        <v>289.0</v>
      </c>
      <c r="V82" s="14" t="s">
        <v>565</v>
      </c>
      <c r="W82" s="14" t="s">
        <v>149</v>
      </c>
      <c r="X82" s="16" t="s">
        <v>17</v>
      </c>
    </row>
    <row r="83" ht="12.75" customHeight="1">
      <c r="A83" s="12">
        <v>30.0</v>
      </c>
      <c r="B83" s="32" t="s">
        <v>566</v>
      </c>
      <c r="C83" s="32" t="s">
        <v>116</v>
      </c>
      <c r="D83" s="16" t="s">
        <v>17</v>
      </c>
      <c r="E83" s="7"/>
      <c r="F83" s="12">
        <v>1.0</v>
      </c>
      <c r="G83" s="32" t="s">
        <v>567</v>
      </c>
      <c r="H83" s="32" t="s">
        <v>116</v>
      </c>
      <c r="I83" s="56" t="s">
        <v>568</v>
      </c>
      <c r="J83" s="7"/>
      <c r="K83" s="12">
        <v>82.0</v>
      </c>
      <c r="L83" s="21" t="s">
        <v>569</v>
      </c>
      <c r="M83" s="21" t="s">
        <v>32</v>
      </c>
      <c r="N83" s="14" t="s">
        <v>570</v>
      </c>
      <c r="O83" s="7"/>
      <c r="P83" s="12">
        <v>186.0</v>
      </c>
      <c r="Q83" s="32" t="s">
        <v>571</v>
      </c>
      <c r="R83" s="32" t="s">
        <v>116</v>
      </c>
      <c r="S83" s="16" t="s">
        <v>17</v>
      </c>
      <c r="T83" s="7"/>
      <c r="U83" s="12">
        <v>290.0</v>
      </c>
      <c r="V83" s="14" t="s">
        <v>572</v>
      </c>
      <c r="W83" s="14" t="s">
        <v>149</v>
      </c>
      <c r="X83" s="14" t="s">
        <v>573</v>
      </c>
    </row>
    <row r="84" ht="12.75" customHeight="1">
      <c r="A84" s="12">
        <v>31.0</v>
      </c>
      <c r="B84" s="32" t="s">
        <v>574</v>
      </c>
      <c r="C84" s="32" t="s">
        <v>116</v>
      </c>
      <c r="D84" s="16" t="s">
        <v>17</v>
      </c>
      <c r="E84" s="7"/>
      <c r="F84" s="12">
        <v>2.0</v>
      </c>
      <c r="G84" s="18" t="s">
        <v>575</v>
      </c>
      <c r="H84" s="18" t="s">
        <v>22</v>
      </c>
      <c r="J84" s="7"/>
      <c r="K84" s="12">
        <v>83.0</v>
      </c>
      <c r="L84" s="21" t="s">
        <v>576</v>
      </c>
      <c r="M84" s="21" t="s">
        <v>32</v>
      </c>
      <c r="N84" s="16" t="s">
        <v>17</v>
      </c>
      <c r="O84" s="7"/>
      <c r="P84" s="12">
        <v>187.0</v>
      </c>
      <c r="Q84" s="32" t="s">
        <v>577</v>
      </c>
      <c r="R84" s="32" t="s">
        <v>116</v>
      </c>
      <c r="S84" s="16" t="s">
        <v>17</v>
      </c>
      <c r="T84" s="7"/>
      <c r="U84" s="12">
        <v>291.0</v>
      </c>
      <c r="V84" s="14" t="s">
        <v>578</v>
      </c>
      <c r="W84" s="14" t="s">
        <v>149</v>
      </c>
      <c r="X84" s="16" t="s">
        <v>17</v>
      </c>
    </row>
    <row r="85" ht="12.75" customHeight="1">
      <c r="A85" s="12">
        <v>32.0</v>
      </c>
      <c r="B85" s="40" t="s">
        <v>579</v>
      </c>
      <c r="C85" s="40" t="s">
        <v>50</v>
      </c>
      <c r="D85" s="16" t="s">
        <v>17</v>
      </c>
      <c r="E85" s="7"/>
      <c r="F85" s="12">
        <v>3.0</v>
      </c>
      <c r="G85" s="15" t="s">
        <v>580</v>
      </c>
      <c r="H85" s="15" t="s">
        <v>16</v>
      </c>
      <c r="J85" s="7"/>
      <c r="K85" s="12">
        <v>84.0</v>
      </c>
      <c r="L85" s="13" t="s">
        <v>581</v>
      </c>
      <c r="M85" s="13" t="s">
        <v>11</v>
      </c>
      <c r="N85" s="16" t="s">
        <v>17</v>
      </c>
      <c r="O85" s="7"/>
      <c r="P85" s="12">
        <v>188.0</v>
      </c>
      <c r="Q85" s="32" t="s">
        <v>582</v>
      </c>
      <c r="R85" s="32" t="s">
        <v>116</v>
      </c>
      <c r="S85" s="16" t="s">
        <v>17</v>
      </c>
      <c r="T85" s="7"/>
      <c r="U85" s="12">
        <v>292.0</v>
      </c>
      <c r="V85" s="14" t="s">
        <v>583</v>
      </c>
      <c r="W85" s="14" t="s">
        <v>149</v>
      </c>
      <c r="X85" s="14" t="s">
        <v>584</v>
      </c>
    </row>
    <row r="86" ht="12.75" customHeight="1">
      <c r="A86" s="12">
        <v>33.0</v>
      </c>
      <c r="B86" s="24" t="s">
        <v>585</v>
      </c>
      <c r="C86" s="24" t="s">
        <v>50</v>
      </c>
      <c r="D86" s="16" t="s">
        <v>17</v>
      </c>
      <c r="E86" s="7"/>
      <c r="F86" s="12">
        <v>4.0</v>
      </c>
      <c r="G86" s="15" t="s">
        <v>586</v>
      </c>
      <c r="H86" s="15" t="s">
        <v>16</v>
      </c>
      <c r="J86" s="7"/>
      <c r="K86" s="12">
        <v>85.0</v>
      </c>
      <c r="L86" s="13" t="s">
        <v>587</v>
      </c>
      <c r="M86" s="13" t="s">
        <v>11</v>
      </c>
      <c r="N86" s="16" t="s">
        <v>17</v>
      </c>
      <c r="O86" s="7"/>
      <c r="P86" s="12">
        <v>189.0</v>
      </c>
      <c r="Q86" s="32" t="s">
        <v>588</v>
      </c>
      <c r="R86" s="32" t="s">
        <v>116</v>
      </c>
      <c r="S86" s="14" t="s">
        <v>46</v>
      </c>
      <c r="T86" s="7"/>
      <c r="U86" s="12">
        <v>293.0</v>
      </c>
      <c r="V86" s="14" t="s">
        <v>589</v>
      </c>
      <c r="W86" s="14" t="s">
        <v>149</v>
      </c>
      <c r="X86" s="16" t="s">
        <v>17</v>
      </c>
    </row>
    <row r="87" ht="12.75" customHeight="1">
      <c r="A87" s="12">
        <v>34.0</v>
      </c>
      <c r="B87" s="24" t="s">
        <v>590</v>
      </c>
      <c r="C87" s="24" t="s">
        <v>50</v>
      </c>
      <c r="D87" s="16" t="s">
        <v>17</v>
      </c>
      <c r="E87" s="7"/>
      <c r="F87" s="12">
        <v>5.0</v>
      </c>
      <c r="G87" s="15" t="s">
        <v>591</v>
      </c>
      <c r="H87" s="15" t="s">
        <v>16</v>
      </c>
      <c r="J87" s="7"/>
      <c r="K87" s="12">
        <v>86.0</v>
      </c>
      <c r="L87" s="13" t="s">
        <v>592</v>
      </c>
      <c r="M87" s="13" t="s">
        <v>11</v>
      </c>
      <c r="N87" s="14" t="s">
        <v>593</v>
      </c>
      <c r="O87" s="7"/>
      <c r="P87" s="12">
        <v>190.0</v>
      </c>
      <c r="Q87" s="32" t="s">
        <v>594</v>
      </c>
      <c r="R87" s="32" t="s">
        <v>116</v>
      </c>
      <c r="S87" s="16" t="s">
        <v>17</v>
      </c>
      <c r="T87" s="7"/>
      <c r="U87" s="12">
        <v>294.0</v>
      </c>
      <c r="V87" s="14" t="s">
        <v>149</v>
      </c>
      <c r="W87" s="14" t="s">
        <v>149</v>
      </c>
      <c r="X87" s="14" t="s">
        <v>595</v>
      </c>
    </row>
    <row r="88" ht="12.75" customHeight="1">
      <c r="A88" s="12">
        <v>35.0</v>
      </c>
      <c r="B88" s="24" t="s">
        <v>596</v>
      </c>
      <c r="C88" s="24" t="s">
        <v>50</v>
      </c>
      <c r="D88" s="16" t="s">
        <v>17</v>
      </c>
      <c r="E88" s="7"/>
      <c r="F88" s="12">
        <v>6.0</v>
      </c>
      <c r="G88" s="15" t="s">
        <v>597</v>
      </c>
      <c r="H88" s="15" t="s">
        <v>16</v>
      </c>
      <c r="J88" s="7"/>
      <c r="K88" s="12">
        <v>87.0</v>
      </c>
      <c r="L88" s="13" t="s">
        <v>598</v>
      </c>
      <c r="M88" s="13" t="s">
        <v>11</v>
      </c>
      <c r="N88" s="16" t="s">
        <v>17</v>
      </c>
      <c r="O88" s="7"/>
      <c r="P88" s="12">
        <v>191.0</v>
      </c>
      <c r="Q88" s="32" t="s">
        <v>599</v>
      </c>
      <c r="R88" s="32" t="s">
        <v>116</v>
      </c>
      <c r="S88" s="16" t="s">
        <v>17</v>
      </c>
      <c r="T88" s="7"/>
      <c r="U88" s="12">
        <v>295.0</v>
      </c>
      <c r="V88" s="14" t="s">
        <v>600</v>
      </c>
      <c r="W88" s="14" t="s">
        <v>149</v>
      </c>
      <c r="X88" s="16" t="s">
        <v>17</v>
      </c>
    </row>
    <row r="89" ht="12.75" customHeight="1">
      <c r="A89" s="12">
        <v>36.0</v>
      </c>
      <c r="B89" s="24" t="s">
        <v>601</v>
      </c>
      <c r="C89" s="24" t="s">
        <v>50</v>
      </c>
      <c r="D89" s="16" t="s">
        <v>17</v>
      </c>
      <c r="E89" s="7"/>
      <c r="F89" s="12">
        <v>7.0</v>
      </c>
      <c r="G89" s="13" t="s">
        <v>602</v>
      </c>
      <c r="H89" s="13" t="s">
        <v>11</v>
      </c>
      <c r="J89" s="7"/>
      <c r="K89" s="12">
        <v>88.0</v>
      </c>
      <c r="L89" s="28" t="s">
        <v>603</v>
      </c>
      <c r="M89" s="28" t="s">
        <v>11</v>
      </c>
      <c r="N89" s="14" t="s">
        <v>604</v>
      </c>
      <c r="O89" s="7"/>
      <c r="P89" s="12">
        <v>192.0</v>
      </c>
      <c r="Q89" s="43" t="s">
        <v>605</v>
      </c>
      <c r="R89" s="43" t="s">
        <v>116</v>
      </c>
      <c r="S89" s="16" t="s">
        <v>17</v>
      </c>
      <c r="T89" s="7"/>
      <c r="U89" s="12">
        <v>296.0</v>
      </c>
      <c r="V89" s="30" t="s">
        <v>606</v>
      </c>
      <c r="W89" s="30" t="s">
        <v>149</v>
      </c>
      <c r="X89" s="14" t="s">
        <v>607</v>
      </c>
    </row>
    <row r="90" ht="12.75" customHeight="1">
      <c r="A90" s="12">
        <v>37.0</v>
      </c>
      <c r="B90" s="24" t="s">
        <v>608</v>
      </c>
      <c r="C90" s="24" t="s">
        <v>50</v>
      </c>
      <c r="D90" s="16" t="s">
        <v>17</v>
      </c>
      <c r="E90" s="7"/>
      <c r="F90" s="12">
        <v>8.0</v>
      </c>
      <c r="G90" s="21" t="s">
        <v>609</v>
      </c>
      <c r="H90" s="21" t="s">
        <v>32</v>
      </c>
      <c r="J90" s="7"/>
      <c r="K90" s="12">
        <v>89.0</v>
      </c>
      <c r="L90" s="13" t="s">
        <v>610</v>
      </c>
      <c r="M90" s="13" t="s">
        <v>11</v>
      </c>
      <c r="N90" s="16" t="s">
        <v>17</v>
      </c>
      <c r="O90" s="7"/>
      <c r="P90" s="12">
        <v>193.0</v>
      </c>
      <c r="Q90" s="32" t="s">
        <v>611</v>
      </c>
      <c r="R90" s="32" t="s">
        <v>116</v>
      </c>
      <c r="S90" s="16" t="s">
        <v>17</v>
      </c>
      <c r="T90" s="7"/>
      <c r="U90" s="12">
        <v>297.0</v>
      </c>
      <c r="V90" s="14" t="s">
        <v>612</v>
      </c>
      <c r="W90" s="14" t="s">
        <v>149</v>
      </c>
      <c r="X90" s="14" t="s">
        <v>613</v>
      </c>
    </row>
    <row r="91" ht="12.75" customHeight="1">
      <c r="A91" s="12">
        <v>38.0</v>
      </c>
      <c r="B91" s="23" t="s">
        <v>614</v>
      </c>
      <c r="C91" s="23" t="s">
        <v>41</v>
      </c>
      <c r="D91" s="16" t="s">
        <v>17</v>
      </c>
      <c r="E91" s="7"/>
      <c r="F91" s="12">
        <v>9.0</v>
      </c>
      <c r="G91" s="21" t="s">
        <v>615</v>
      </c>
      <c r="H91" s="21" t="s">
        <v>32</v>
      </c>
      <c r="J91" s="7"/>
      <c r="K91" s="12">
        <v>90.0</v>
      </c>
      <c r="L91" s="13" t="s">
        <v>616</v>
      </c>
      <c r="M91" s="13" t="s">
        <v>11</v>
      </c>
      <c r="N91" s="14" t="s">
        <v>617</v>
      </c>
      <c r="O91" s="7"/>
      <c r="P91" s="12">
        <v>194.0</v>
      </c>
      <c r="Q91" s="32" t="s">
        <v>618</v>
      </c>
      <c r="R91" s="32" t="s">
        <v>116</v>
      </c>
      <c r="S91" s="16" t="s">
        <v>17</v>
      </c>
      <c r="T91" s="7"/>
      <c r="U91" s="12">
        <v>298.0</v>
      </c>
      <c r="V91" s="14" t="s">
        <v>619</v>
      </c>
      <c r="W91" s="14" t="s">
        <v>149</v>
      </c>
      <c r="X91" s="14" t="s">
        <v>620</v>
      </c>
    </row>
    <row r="92" ht="12.75" customHeight="1">
      <c r="A92" s="12">
        <v>39.0</v>
      </c>
      <c r="B92" s="23" t="s">
        <v>621</v>
      </c>
      <c r="C92" s="23" t="s">
        <v>41</v>
      </c>
      <c r="D92" s="16" t="s">
        <v>17</v>
      </c>
      <c r="E92" s="7"/>
      <c r="F92" s="12">
        <v>10.0</v>
      </c>
      <c r="G92" s="21" t="s">
        <v>622</v>
      </c>
      <c r="H92" s="21" t="s">
        <v>32</v>
      </c>
      <c r="J92" s="7"/>
      <c r="K92" s="12">
        <v>91.0</v>
      </c>
      <c r="L92" s="13" t="s">
        <v>623</v>
      </c>
      <c r="M92" s="13" t="s">
        <v>11</v>
      </c>
      <c r="N92" s="14" t="s">
        <v>624</v>
      </c>
      <c r="O92" s="7"/>
      <c r="P92" s="12">
        <v>195.0</v>
      </c>
      <c r="Q92" s="32" t="s">
        <v>625</v>
      </c>
      <c r="R92" s="32" t="s">
        <v>116</v>
      </c>
      <c r="S92" s="16" t="s">
        <v>17</v>
      </c>
      <c r="T92" s="7"/>
      <c r="U92" s="12">
        <v>299.0</v>
      </c>
      <c r="V92" s="14" t="s">
        <v>626</v>
      </c>
      <c r="W92" s="14" t="s">
        <v>149</v>
      </c>
      <c r="X92" s="14" t="s">
        <v>627</v>
      </c>
    </row>
    <row r="93" ht="12.75" customHeight="1">
      <c r="A93" s="12">
        <v>40.0</v>
      </c>
      <c r="B93" s="48" t="s">
        <v>628</v>
      </c>
      <c r="C93" s="48" t="s">
        <v>41</v>
      </c>
      <c r="D93" s="16" t="s">
        <v>17</v>
      </c>
      <c r="E93" s="7"/>
      <c r="F93" s="12">
        <v>11.0</v>
      </c>
      <c r="G93" s="13" t="s">
        <v>629</v>
      </c>
      <c r="H93" s="13" t="s">
        <v>11</v>
      </c>
      <c r="J93" s="7"/>
      <c r="K93" s="12">
        <v>92.0</v>
      </c>
      <c r="L93" s="13" t="s">
        <v>630</v>
      </c>
      <c r="M93" s="13" t="s">
        <v>11</v>
      </c>
      <c r="N93" s="16" t="s">
        <v>17</v>
      </c>
      <c r="O93" s="7"/>
      <c r="P93" s="12">
        <v>196.0</v>
      </c>
      <c r="Q93" s="32" t="s">
        <v>631</v>
      </c>
      <c r="R93" s="32" t="s">
        <v>116</v>
      </c>
      <c r="S93" s="16" t="s">
        <v>17</v>
      </c>
      <c r="T93" s="7"/>
      <c r="U93" s="12">
        <v>300.0</v>
      </c>
      <c r="V93" s="14" t="s">
        <v>632</v>
      </c>
      <c r="W93" s="14" t="s">
        <v>149</v>
      </c>
      <c r="X93" s="16" t="s">
        <v>17</v>
      </c>
    </row>
    <row r="94" ht="12.75" customHeight="1">
      <c r="A94" s="12">
        <v>41.0</v>
      </c>
      <c r="B94" s="23" t="s">
        <v>633</v>
      </c>
      <c r="C94" s="23" t="s">
        <v>41</v>
      </c>
      <c r="D94" s="16" t="s">
        <v>17</v>
      </c>
      <c r="E94" s="7"/>
      <c r="F94" s="12">
        <v>12.0</v>
      </c>
      <c r="G94" s="13" t="s">
        <v>634</v>
      </c>
      <c r="H94" s="13" t="s">
        <v>11</v>
      </c>
      <c r="J94" s="7"/>
      <c r="K94" s="12">
        <v>93.0</v>
      </c>
      <c r="L94" s="13" t="s">
        <v>635</v>
      </c>
      <c r="M94" s="13" t="s">
        <v>11</v>
      </c>
      <c r="N94" s="16" t="s">
        <v>17</v>
      </c>
      <c r="O94" s="7"/>
      <c r="P94" s="12">
        <v>197.0</v>
      </c>
      <c r="Q94" s="57" t="s">
        <v>636</v>
      </c>
      <c r="R94" s="32" t="s">
        <v>116</v>
      </c>
      <c r="S94" s="16" t="s">
        <v>17</v>
      </c>
      <c r="T94" s="7"/>
      <c r="U94" s="12">
        <v>301.0</v>
      </c>
      <c r="V94" s="14" t="s">
        <v>637</v>
      </c>
      <c r="W94" s="14" t="s">
        <v>149</v>
      </c>
      <c r="X94" s="16" t="s">
        <v>17</v>
      </c>
    </row>
    <row r="95" ht="12.75" customHeight="1">
      <c r="A95" s="12">
        <v>42.0</v>
      </c>
      <c r="B95" s="15" t="s">
        <v>638</v>
      </c>
      <c r="C95" s="15" t="s">
        <v>16</v>
      </c>
      <c r="D95" s="16" t="s">
        <v>17</v>
      </c>
      <c r="E95" s="7"/>
      <c r="F95" s="12">
        <v>13.0</v>
      </c>
      <c r="G95" s="13" t="s">
        <v>639</v>
      </c>
      <c r="H95" s="13" t="s">
        <v>11</v>
      </c>
      <c r="J95" s="7"/>
      <c r="K95" s="12">
        <v>94.0</v>
      </c>
      <c r="L95" s="13" t="s">
        <v>640</v>
      </c>
      <c r="M95" s="13" t="s">
        <v>11</v>
      </c>
      <c r="N95" s="16" t="s">
        <v>17</v>
      </c>
      <c r="O95" s="7"/>
      <c r="P95" s="12">
        <v>198.0</v>
      </c>
      <c r="Q95" s="32" t="s">
        <v>641</v>
      </c>
      <c r="R95" s="32" t="s">
        <v>116</v>
      </c>
      <c r="S95" s="14" t="s">
        <v>642</v>
      </c>
      <c r="T95" s="7"/>
      <c r="U95" s="12">
        <v>302.0</v>
      </c>
      <c r="V95" s="14" t="s">
        <v>643</v>
      </c>
      <c r="W95" s="14" t="s">
        <v>149</v>
      </c>
      <c r="X95" s="14" t="s">
        <v>644</v>
      </c>
    </row>
    <row r="96" ht="12.75" customHeight="1">
      <c r="A96" s="12">
        <v>43.0</v>
      </c>
      <c r="B96" s="14" t="s">
        <v>645</v>
      </c>
      <c r="C96" s="34" t="s">
        <v>156</v>
      </c>
      <c r="D96" s="16" t="s">
        <v>17</v>
      </c>
      <c r="E96" s="7"/>
      <c r="F96" s="12">
        <v>14.0</v>
      </c>
      <c r="G96" s="13" t="s">
        <v>646</v>
      </c>
      <c r="H96" s="13" t="s">
        <v>11</v>
      </c>
      <c r="J96" s="7"/>
      <c r="K96" s="12">
        <v>95.0</v>
      </c>
      <c r="L96" s="13" t="s">
        <v>647</v>
      </c>
      <c r="M96" s="13" t="s">
        <v>11</v>
      </c>
      <c r="N96" s="14" t="s">
        <v>648</v>
      </c>
      <c r="O96" s="7"/>
      <c r="P96" s="12">
        <v>199.0</v>
      </c>
      <c r="Q96" s="32" t="s">
        <v>649</v>
      </c>
      <c r="R96" s="32" t="s">
        <v>116</v>
      </c>
      <c r="S96" s="16" t="s">
        <v>17</v>
      </c>
      <c r="T96" s="7"/>
      <c r="U96" s="12">
        <v>303.0</v>
      </c>
      <c r="V96" s="14" t="s">
        <v>650</v>
      </c>
      <c r="W96" s="14" t="s">
        <v>149</v>
      </c>
      <c r="X96" s="14" t="s">
        <v>651</v>
      </c>
    </row>
    <row r="97" ht="12.75" customHeight="1">
      <c r="A97" s="12">
        <v>44.0</v>
      </c>
      <c r="B97" s="14" t="s">
        <v>652</v>
      </c>
      <c r="C97" s="34" t="s">
        <v>156</v>
      </c>
      <c r="D97" s="16" t="s">
        <v>17</v>
      </c>
      <c r="E97" s="7"/>
      <c r="I97" s="14"/>
      <c r="J97" s="7"/>
      <c r="K97" s="12">
        <v>96.0</v>
      </c>
      <c r="L97" s="28" t="s">
        <v>653</v>
      </c>
      <c r="M97" s="28" t="s">
        <v>11</v>
      </c>
      <c r="N97" s="14" t="s">
        <v>654</v>
      </c>
      <c r="O97" s="7"/>
      <c r="P97" s="12">
        <v>200.0</v>
      </c>
      <c r="Q97" s="43" t="s">
        <v>655</v>
      </c>
      <c r="R97" s="43" t="s">
        <v>116</v>
      </c>
      <c r="S97" s="16" t="s">
        <v>17</v>
      </c>
      <c r="T97" s="7"/>
      <c r="U97" s="12">
        <v>304.0</v>
      </c>
      <c r="V97" s="30" t="s">
        <v>656</v>
      </c>
      <c r="W97" s="30" t="s">
        <v>149</v>
      </c>
      <c r="X97" s="16" t="s">
        <v>17</v>
      </c>
    </row>
    <row r="98" ht="12.75" customHeight="1">
      <c r="D98" s="5">
        <f>A97-COUNTIF(D54:D97,"---")</f>
        <v>1</v>
      </c>
      <c r="E98" s="7"/>
      <c r="J98" s="7"/>
      <c r="K98" s="12">
        <v>97.0</v>
      </c>
      <c r="L98" s="13" t="s">
        <v>657</v>
      </c>
      <c r="M98" s="13" t="s">
        <v>11</v>
      </c>
      <c r="N98" s="16" t="s">
        <v>17</v>
      </c>
      <c r="O98" s="7"/>
      <c r="P98" s="12">
        <v>201.0</v>
      </c>
      <c r="Q98" s="32" t="s">
        <v>658</v>
      </c>
      <c r="R98" s="32" t="s">
        <v>116</v>
      </c>
      <c r="S98" s="34" t="s">
        <v>659</v>
      </c>
      <c r="T98" s="7"/>
      <c r="U98" s="12">
        <v>305.0</v>
      </c>
      <c r="V98" s="14" t="s">
        <v>660</v>
      </c>
      <c r="W98" s="14" t="s">
        <v>149</v>
      </c>
      <c r="X98" s="14" t="s">
        <v>661</v>
      </c>
    </row>
    <row r="99" ht="12.75" customHeight="1">
      <c r="E99" s="7"/>
      <c r="J99" s="7"/>
      <c r="K99" s="12">
        <v>98.0</v>
      </c>
      <c r="L99" s="13" t="s">
        <v>662</v>
      </c>
      <c r="M99" s="13" t="s">
        <v>11</v>
      </c>
      <c r="N99" s="14" t="s">
        <v>663</v>
      </c>
      <c r="O99" s="7"/>
      <c r="P99" s="12">
        <v>202.0</v>
      </c>
      <c r="Q99" s="32" t="s">
        <v>664</v>
      </c>
      <c r="R99" s="32" t="s">
        <v>116</v>
      </c>
      <c r="S99" s="14" t="s">
        <v>665</v>
      </c>
      <c r="T99" s="7"/>
      <c r="U99" s="12">
        <v>306.0</v>
      </c>
      <c r="V99" s="21" t="s">
        <v>666</v>
      </c>
      <c r="W99" s="21" t="s">
        <v>667</v>
      </c>
      <c r="X99" s="21" t="s">
        <v>668</v>
      </c>
    </row>
    <row r="100" ht="12.75" customHeight="1">
      <c r="E100" s="7"/>
      <c r="G100" s="58" t="s">
        <v>669</v>
      </c>
      <c r="H100" s="59" t="s">
        <v>19</v>
      </c>
      <c r="I100" s="60" t="s">
        <v>17</v>
      </c>
      <c r="J100" s="7"/>
      <c r="K100" s="12">
        <v>99.0</v>
      </c>
      <c r="L100" s="13" t="s">
        <v>670</v>
      </c>
      <c r="M100" s="13" t="s">
        <v>11</v>
      </c>
      <c r="N100" s="16" t="s">
        <v>17</v>
      </c>
      <c r="O100" s="7"/>
      <c r="P100" s="12">
        <v>203.0</v>
      </c>
      <c r="Q100" s="32" t="s">
        <v>671</v>
      </c>
      <c r="R100" s="32" t="s">
        <v>116</v>
      </c>
      <c r="S100" s="14" t="s">
        <v>672</v>
      </c>
      <c r="T100" s="7"/>
      <c r="U100" s="12">
        <v>307.0</v>
      </c>
      <c r="V100" s="21" t="s">
        <v>673</v>
      </c>
      <c r="W100" s="21" t="s">
        <v>667</v>
      </c>
      <c r="X100" s="61" t="s">
        <v>17</v>
      </c>
    </row>
    <row r="101" ht="12.75" customHeight="1">
      <c r="G101" s="62" t="s">
        <v>674</v>
      </c>
      <c r="H101" s="63" t="s">
        <v>19</v>
      </c>
      <c r="I101" s="64" t="s">
        <v>17</v>
      </c>
      <c r="J101" s="7"/>
      <c r="K101" s="12">
        <v>100.0</v>
      </c>
      <c r="L101" s="13" t="s">
        <v>675</v>
      </c>
      <c r="M101" s="13" t="s">
        <v>11</v>
      </c>
      <c r="N101" s="14" t="s">
        <v>676</v>
      </c>
      <c r="O101" s="7"/>
      <c r="P101" s="12">
        <v>204.0</v>
      </c>
      <c r="Q101" s="32" t="s">
        <v>677</v>
      </c>
      <c r="R101" s="32" t="s">
        <v>116</v>
      </c>
      <c r="S101" s="14" t="s">
        <v>678</v>
      </c>
      <c r="T101" s="7"/>
      <c r="U101" s="12">
        <v>308.0</v>
      </c>
      <c r="V101" s="21" t="s">
        <v>679</v>
      </c>
      <c r="W101" s="21" t="s">
        <v>667</v>
      </c>
      <c r="X101" s="21" t="s">
        <v>620</v>
      </c>
    </row>
    <row r="102" ht="12.75" customHeight="1">
      <c r="G102" s="62" t="s">
        <v>680</v>
      </c>
      <c r="H102" s="63" t="s">
        <v>19</v>
      </c>
      <c r="I102" s="64" t="s">
        <v>17</v>
      </c>
      <c r="J102" s="7"/>
      <c r="K102" s="12">
        <v>101.0</v>
      </c>
      <c r="L102" s="13" t="s">
        <v>681</v>
      </c>
      <c r="M102" s="13" t="s">
        <v>11</v>
      </c>
      <c r="N102" s="14" t="s">
        <v>682</v>
      </c>
      <c r="O102" s="7"/>
      <c r="P102" s="12">
        <v>205.0</v>
      </c>
      <c r="Q102" s="32" t="s">
        <v>683</v>
      </c>
      <c r="R102" s="32" t="s">
        <v>116</v>
      </c>
      <c r="S102" s="16" t="s">
        <v>17</v>
      </c>
      <c r="T102" s="7"/>
      <c r="U102" s="12">
        <v>309.0</v>
      </c>
      <c r="V102" s="21" t="s">
        <v>684</v>
      </c>
      <c r="W102" s="21" t="s">
        <v>667</v>
      </c>
      <c r="X102" s="61" t="s">
        <v>17</v>
      </c>
    </row>
    <row r="103" ht="12.75" customHeight="1">
      <c r="G103" s="65" t="s">
        <v>685</v>
      </c>
      <c r="H103" s="66" t="s">
        <v>19</v>
      </c>
      <c r="I103" s="67" t="s">
        <v>686</v>
      </c>
      <c r="J103" s="7"/>
      <c r="K103" s="12">
        <v>102.0</v>
      </c>
      <c r="L103" s="13" t="s">
        <v>687</v>
      </c>
      <c r="M103" s="13" t="s">
        <v>11</v>
      </c>
      <c r="N103" s="14" t="s">
        <v>688</v>
      </c>
      <c r="O103" s="7"/>
      <c r="P103" s="12">
        <v>206.0</v>
      </c>
      <c r="Q103" s="32" t="s">
        <v>689</v>
      </c>
      <c r="R103" s="32" t="s">
        <v>116</v>
      </c>
      <c r="S103" s="14" t="s">
        <v>690</v>
      </c>
      <c r="T103" s="7"/>
      <c r="U103" s="12">
        <v>310.0</v>
      </c>
      <c r="V103" s="38" t="s">
        <v>691</v>
      </c>
      <c r="W103" s="21" t="s">
        <v>667</v>
      </c>
      <c r="X103" s="21" t="s">
        <v>692</v>
      </c>
    </row>
    <row r="104" ht="12.75" customHeight="1">
      <c r="J104" s="7"/>
      <c r="K104" s="12">
        <v>103.0</v>
      </c>
      <c r="L104" s="13" t="s">
        <v>693</v>
      </c>
      <c r="M104" s="13" t="s">
        <v>11</v>
      </c>
      <c r="N104" s="16" t="s">
        <v>17</v>
      </c>
      <c r="O104" s="7"/>
      <c r="P104" s="12">
        <v>207.0</v>
      </c>
      <c r="Q104" s="32" t="s">
        <v>694</v>
      </c>
      <c r="R104" s="32" t="s">
        <v>116</v>
      </c>
      <c r="S104" s="16" t="s">
        <v>17</v>
      </c>
      <c r="T104" s="7"/>
      <c r="U104" s="12">
        <v>311.0</v>
      </c>
      <c r="V104" s="21" t="s">
        <v>695</v>
      </c>
      <c r="W104" s="21" t="s">
        <v>667</v>
      </c>
      <c r="X104" s="21" t="s">
        <v>696</v>
      </c>
    </row>
    <row r="105" ht="12.75" customHeight="1">
      <c r="J105" s="7"/>
      <c r="K105" s="12">
        <v>104.0</v>
      </c>
      <c r="L105" s="29" t="s">
        <v>697</v>
      </c>
      <c r="M105" s="29" t="s">
        <v>16</v>
      </c>
      <c r="N105" s="14" t="s">
        <v>698</v>
      </c>
      <c r="O105" s="7"/>
      <c r="P105" s="12">
        <v>208.0</v>
      </c>
      <c r="Q105" s="43" t="s">
        <v>699</v>
      </c>
      <c r="R105" s="43" t="s">
        <v>116</v>
      </c>
      <c r="S105" s="16" t="s">
        <v>17</v>
      </c>
      <c r="T105" s="7"/>
      <c r="U105" s="12">
        <v>312.0</v>
      </c>
      <c r="V105" s="39" t="s">
        <v>700</v>
      </c>
      <c r="W105" s="39" t="s">
        <v>667</v>
      </c>
      <c r="X105" s="21" t="s">
        <v>701</v>
      </c>
    </row>
    <row r="106" ht="12.75" customHeight="1">
      <c r="J106" s="7"/>
      <c r="N106" s="5">
        <f>104-COUNTIF(N2:N105,"---")</f>
        <v>62</v>
      </c>
      <c r="O106" s="7"/>
      <c r="S106" s="5">
        <f>104-COUNTIF(S2:S105,"---")</f>
        <v>49</v>
      </c>
      <c r="T106" s="7"/>
      <c r="U106" s="12">
        <v>313.0</v>
      </c>
      <c r="V106" s="21" t="s">
        <v>702</v>
      </c>
      <c r="W106" s="21" t="s">
        <v>667</v>
      </c>
      <c r="X106" s="61" t="s">
        <v>17</v>
      </c>
    </row>
    <row r="107" ht="12.75" customHeight="1">
      <c r="T107" s="7"/>
      <c r="U107" s="12">
        <v>314.0</v>
      </c>
      <c r="V107" s="21" t="s">
        <v>703</v>
      </c>
      <c r="W107" s="21" t="s">
        <v>667</v>
      </c>
      <c r="X107" s="21" t="s">
        <v>704</v>
      </c>
    </row>
    <row r="108" ht="12.75" customHeight="1">
      <c r="T108" s="7"/>
      <c r="U108" s="12">
        <v>315.0</v>
      </c>
      <c r="V108" s="21" t="s">
        <v>705</v>
      </c>
      <c r="W108" s="21" t="s">
        <v>667</v>
      </c>
      <c r="X108" s="21" t="s">
        <v>704</v>
      </c>
    </row>
    <row r="109" ht="12.75" customHeight="1">
      <c r="T109" s="7"/>
      <c r="U109" s="12">
        <v>316.0</v>
      </c>
      <c r="V109" s="21" t="s">
        <v>706</v>
      </c>
      <c r="W109" s="21" t="s">
        <v>667</v>
      </c>
      <c r="X109" s="21" t="s">
        <v>707</v>
      </c>
    </row>
    <row r="110" ht="12.75" customHeight="1">
      <c r="T110" s="7"/>
      <c r="U110" s="12">
        <v>317.0</v>
      </c>
      <c r="V110" s="21" t="s">
        <v>708</v>
      </c>
      <c r="W110" s="21" t="s">
        <v>667</v>
      </c>
      <c r="X110" s="21" t="s">
        <v>709</v>
      </c>
    </row>
    <row r="111" ht="12.75" customHeight="1">
      <c r="T111" s="7"/>
      <c r="U111" s="12">
        <v>318.0</v>
      </c>
      <c r="V111" s="21" t="s">
        <v>710</v>
      </c>
      <c r="W111" s="21" t="s">
        <v>667</v>
      </c>
      <c r="X111" s="21" t="s">
        <v>711</v>
      </c>
    </row>
    <row r="112" ht="12.75" customHeight="1">
      <c r="T112" s="7"/>
      <c r="U112" s="12">
        <v>319.0</v>
      </c>
      <c r="V112" s="21" t="s">
        <v>712</v>
      </c>
      <c r="W112" s="21" t="s">
        <v>667</v>
      </c>
      <c r="X112" s="21" t="s">
        <v>713</v>
      </c>
    </row>
    <row r="113" ht="12.75" customHeight="1">
      <c r="T113" s="7"/>
      <c r="U113" s="12">
        <v>320.0</v>
      </c>
      <c r="V113" s="21" t="s">
        <v>714</v>
      </c>
      <c r="W113" s="21" t="s">
        <v>667</v>
      </c>
      <c r="X113" s="61" t="s">
        <v>17</v>
      </c>
    </row>
    <row r="114" ht="12.75" customHeight="1">
      <c r="U114" s="68">
        <v>321.0</v>
      </c>
      <c r="V114" s="69" t="s">
        <v>715</v>
      </c>
      <c r="W114" s="69" t="s">
        <v>667</v>
      </c>
      <c r="X114" s="69" t="s">
        <v>716</v>
      </c>
    </row>
    <row r="115" ht="12.75" customHeight="1">
      <c r="X115" s="5">
        <f>321-104-104-COUNTIF(X2:X113,"---")</f>
        <v>46</v>
      </c>
    </row>
    <row r="116" ht="12.75" customHeight="1"/>
    <row r="117" ht="12.75" customHeight="1"/>
    <row r="118" ht="12.75" customHeight="1"/>
    <row r="119" ht="12.75" customHeight="1">
      <c r="P119" s="12"/>
      <c r="Q119" s="32"/>
      <c r="R119" s="32"/>
      <c r="S119" s="14"/>
      <c r="V119" s="14"/>
      <c r="W119" s="14"/>
      <c r="X119" s="14"/>
    </row>
    <row r="120" ht="12.75" customHeight="1">
      <c r="P120" s="12"/>
      <c r="Q120" s="32"/>
      <c r="R120" s="32"/>
      <c r="S120" s="1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>
      <c r="D133" s="14"/>
    </row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>
      <c r="P146" s="12"/>
    </row>
    <row r="147" ht="12.75" customHeight="1">
      <c r="A147" s="12"/>
    </row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>
      <c r="P232" s="12"/>
    </row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I83:I9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57.29"/>
    <col customWidth="1" min="3" max="3" width="39.29"/>
    <col customWidth="1" min="4" max="5" width="8.71"/>
    <col customWidth="1" min="6" max="6" width="13.86"/>
    <col customWidth="1" min="7" max="26" width="8.71"/>
  </cols>
  <sheetData>
    <row r="1" ht="12.75" customHeight="1">
      <c r="A1" s="70" t="s">
        <v>717</v>
      </c>
      <c r="B1" s="5"/>
      <c r="C1" s="5"/>
    </row>
    <row r="2" ht="12.75" customHeight="1">
      <c r="A2" s="5"/>
      <c r="B2" s="5"/>
      <c r="C2" s="5"/>
    </row>
    <row r="3" ht="12.75" customHeight="1">
      <c r="A3" s="5" t="s">
        <v>5</v>
      </c>
      <c r="B3" s="5" t="s">
        <v>718</v>
      </c>
      <c r="C3" s="5" t="s">
        <v>719</v>
      </c>
    </row>
    <row r="4" ht="12.75" customHeight="1">
      <c r="A4" s="13" t="str">
        <f>'УзлыРесы(1)'!C13</f>
        <v>Баленос</v>
      </c>
      <c r="B4" s="13" t="str">
        <f>'УзлыРесы(1)'!B13</f>
        <v>Велия</v>
      </c>
      <c r="C4" s="14" t="s">
        <v>720</v>
      </c>
    </row>
    <row r="5" ht="12.75" customHeight="1">
      <c r="A5" s="13" t="str">
        <f t="shared" ref="A5:B5" si="1">A4</f>
        <v>Баленос</v>
      </c>
      <c r="B5" s="14" t="str">
        <f t="shared" si="1"/>
        <v>Велия</v>
      </c>
      <c r="C5" s="14" t="s">
        <v>721</v>
      </c>
    </row>
    <row r="6" ht="12.75" customHeight="1">
      <c r="A6" s="13" t="str">
        <f t="shared" ref="A6:A148" si="2">A5</f>
        <v>Баленос</v>
      </c>
      <c r="B6" s="13" t="str">
        <f>'УзлыРесы(1)'!B28</f>
        <v>Город Оливия</v>
      </c>
      <c r="C6" s="34" t="str">
        <f>'УзлыРесы(1)'!D28</f>
        <v>Ящик с древесиной из Баленоса</v>
      </c>
    </row>
    <row r="7" ht="12.75" customHeight="1">
      <c r="A7" s="13" t="str">
        <f t="shared" si="2"/>
        <v>Баленос</v>
      </c>
      <c r="B7" s="13" t="str">
        <f>'УзлыРесы(1)'!B37</f>
        <v>Остров Илия</v>
      </c>
      <c r="C7" s="34" t="str">
        <f>'УзлыРесы(1)'!D37</f>
        <v>Амулет Илии</v>
      </c>
    </row>
    <row r="8" ht="12.75" customHeight="1">
      <c r="A8" s="13" t="str">
        <f t="shared" si="2"/>
        <v>Баленос</v>
      </c>
      <c r="B8" s="13" t="str">
        <f>'УзлыРесы(1)'!G2</f>
        <v>Ферма Бартелли</v>
      </c>
      <c r="C8" s="14" t="s">
        <v>722</v>
      </c>
    </row>
    <row r="9" ht="12.75" customHeight="1">
      <c r="A9" s="13" t="str">
        <f t="shared" si="2"/>
        <v>Баленос</v>
      </c>
      <c r="B9" s="14" t="str">
        <f t="shared" ref="B9:B11" si="3">B8</f>
        <v>Ферма Бартелли</v>
      </c>
      <c r="C9" s="14" t="s">
        <v>723</v>
      </c>
    </row>
    <row r="10" ht="12.75" customHeight="1">
      <c r="A10" s="13" t="str">
        <f t="shared" si="2"/>
        <v>Баленос</v>
      </c>
      <c r="B10" s="14" t="str">
        <f t="shared" si="3"/>
        <v>Ферма Бартелли</v>
      </c>
      <c r="C10" s="14" t="s">
        <v>724</v>
      </c>
    </row>
    <row r="11" ht="12.75" customHeight="1">
      <c r="A11" s="13" t="str">
        <f t="shared" si="2"/>
        <v>Баленос</v>
      </c>
      <c r="B11" s="14" t="str">
        <f t="shared" si="3"/>
        <v>Ферма Бартелли</v>
      </c>
      <c r="C11" s="14" t="s">
        <v>725</v>
      </c>
    </row>
    <row r="12" ht="12.75" customHeight="1">
      <c r="A12" s="13" t="str">
        <f t="shared" si="2"/>
        <v>Баленос</v>
      </c>
      <c r="B12" s="13" t="str">
        <f>'УзлыРесы(1)'!L2</f>
        <v>Ферма Пинто</v>
      </c>
      <c r="C12" s="14" t="s">
        <v>722</v>
      </c>
    </row>
    <row r="13" ht="12.75" customHeight="1">
      <c r="A13" s="13" t="str">
        <f t="shared" si="2"/>
        <v>Баленос</v>
      </c>
      <c r="B13" s="14" t="str">
        <f t="shared" ref="B13:B15" si="4">B12</f>
        <v>Ферма Пинто</v>
      </c>
      <c r="C13" s="14" t="s">
        <v>723</v>
      </c>
    </row>
    <row r="14" ht="12.75" customHeight="1">
      <c r="A14" s="13" t="str">
        <f t="shared" si="2"/>
        <v>Баленос</v>
      </c>
      <c r="B14" s="14" t="str">
        <f t="shared" si="4"/>
        <v>Ферма Пинто</v>
      </c>
      <c r="C14" s="14" t="s">
        <v>724</v>
      </c>
    </row>
    <row r="15" ht="12.75" customHeight="1">
      <c r="A15" s="13" t="str">
        <f t="shared" si="2"/>
        <v>Баленос</v>
      </c>
      <c r="B15" s="14" t="str">
        <f t="shared" si="4"/>
        <v>Ферма Пинто</v>
      </c>
      <c r="C15" s="14" t="s">
        <v>726</v>
      </c>
    </row>
    <row r="16" ht="12.75" customHeight="1">
      <c r="A16" s="13" t="str">
        <f t="shared" si="2"/>
        <v>Баленос</v>
      </c>
      <c r="B16" s="13" t="str">
        <f>'УзлыРесы(1)'!L5</f>
        <v>Ферма Лоджи</v>
      </c>
      <c r="C16" s="14" t="s">
        <v>722</v>
      </c>
    </row>
    <row r="17" ht="12.75" customHeight="1">
      <c r="A17" s="13" t="str">
        <f t="shared" si="2"/>
        <v>Баленос</v>
      </c>
      <c r="B17" s="14" t="str">
        <f>B16</f>
        <v>Ферма Лоджи</v>
      </c>
      <c r="C17" s="14" t="s">
        <v>727</v>
      </c>
    </row>
    <row r="18" ht="12.75" customHeight="1">
      <c r="A18" s="13" t="str">
        <f t="shared" si="2"/>
        <v>Баленос</v>
      </c>
      <c r="B18" s="13" t="str">
        <f>'УзлыРесы(1)'!L6</f>
        <v>Ферма Марино</v>
      </c>
      <c r="C18" s="34" t="str">
        <f>'УзлыРесы(1)'!N6</f>
        <v>Талисман счастья из прозрачного хрусталя</v>
      </c>
    </row>
    <row r="19" ht="12.75" customHeight="1">
      <c r="A19" s="13" t="str">
        <f t="shared" si="2"/>
        <v>Баленос</v>
      </c>
      <c r="B19" s="13" t="str">
        <f>'УзлыРесы(1)'!L10</f>
        <v>Лес Баленоса</v>
      </c>
      <c r="C19" s="14" t="s">
        <v>728</v>
      </c>
    </row>
    <row r="20" ht="12.75" customHeight="1">
      <c r="A20" s="13" t="str">
        <f t="shared" si="2"/>
        <v>Баленос</v>
      </c>
      <c r="B20" s="14" t="str">
        <f t="shared" ref="B20:B22" si="5">B19</f>
        <v>Лес Баленоса</v>
      </c>
      <c r="C20" s="14" t="s">
        <v>729</v>
      </c>
    </row>
    <row r="21" ht="12.75" customHeight="1">
      <c r="A21" s="13" t="str">
        <f t="shared" si="2"/>
        <v>Баленос</v>
      </c>
      <c r="B21" s="14" t="str">
        <f t="shared" si="5"/>
        <v>Лес Баленоса</v>
      </c>
      <c r="C21" s="14" t="s">
        <v>132</v>
      </c>
    </row>
    <row r="22" ht="12.75" customHeight="1">
      <c r="A22" s="13" t="str">
        <f t="shared" si="2"/>
        <v>Баленос</v>
      </c>
      <c r="B22" s="14" t="str">
        <f t="shared" si="5"/>
        <v>Лес Баленоса</v>
      </c>
      <c r="C22" s="14" t="s">
        <v>730</v>
      </c>
    </row>
    <row r="23" ht="12.75" customHeight="1">
      <c r="A23" s="13" t="str">
        <f t="shared" si="2"/>
        <v>Баленос</v>
      </c>
      <c r="B23" s="13" t="str">
        <f>'УзлыРесы(1)'!L11</f>
        <v>Ферма Тоскани</v>
      </c>
      <c r="C23" s="14" t="s">
        <v>731</v>
      </c>
    </row>
    <row r="24" ht="12.75" customHeight="1">
      <c r="A24" s="13" t="str">
        <f t="shared" si="2"/>
        <v>Баленос</v>
      </c>
      <c r="B24" s="14" t="str">
        <f>B23</f>
        <v>Ферма Тоскани</v>
      </c>
      <c r="C24" s="14" t="s">
        <v>344</v>
      </c>
      <c r="G24" s="12"/>
    </row>
    <row r="25" ht="12.75" customHeight="1">
      <c r="A25" s="13" t="str">
        <f t="shared" si="2"/>
        <v>Баленос</v>
      </c>
      <c r="B25" s="19" t="str">
        <f>'УзлыРесы(1)'!L79</f>
        <v>Остров Расиды (скрытый)</v>
      </c>
      <c r="C25" s="14" t="s">
        <v>732</v>
      </c>
      <c r="G25" s="12"/>
    </row>
    <row r="26" ht="12.75" customHeight="1">
      <c r="A26" s="13" t="str">
        <f t="shared" si="2"/>
        <v>Баленос</v>
      </c>
      <c r="B26" s="14" t="str">
        <f t="shared" ref="B26:B27" si="6">B25</f>
        <v>Остров Расиды (скрытый)</v>
      </c>
      <c r="C26" s="14" t="s">
        <v>733</v>
      </c>
      <c r="G26" s="12"/>
    </row>
    <row r="27" ht="12.75" customHeight="1">
      <c r="A27" s="13" t="str">
        <f t="shared" si="2"/>
        <v>Баленос</v>
      </c>
      <c r="B27" s="14" t="str">
        <f t="shared" si="6"/>
        <v>Остров Расиды (скрытый)</v>
      </c>
      <c r="C27" s="14" t="s">
        <v>734</v>
      </c>
      <c r="G27" s="12"/>
    </row>
    <row r="28" ht="12.75" customHeight="1">
      <c r="A28" s="13" t="str">
        <f t="shared" si="2"/>
        <v>Баленос</v>
      </c>
      <c r="B28" s="13" t="str">
        <f>'УзлыРесы(1)'!L89</f>
        <v>Остров Рувиано</v>
      </c>
      <c r="C28" s="14" t="s">
        <v>735</v>
      </c>
      <c r="G28" s="12"/>
    </row>
    <row r="29" ht="12.75" customHeight="1">
      <c r="A29" s="13" t="str">
        <f t="shared" si="2"/>
        <v>Баленос</v>
      </c>
      <c r="B29" s="14" t="str">
        <f t="shared" ref="B29:B31" si="7">B28</f>
        <v>Остров Рувиано</v>
      </c>
      <c r="C29" s="14" t="s">
        <v>736</v>
      </c>
      <c r="G29" s="12"/>
    </row>
    <row r="30" ht="12.75" customHeight="1">
      <c r="A30" s="13" t="str">
        <f t="shared" si="2"/>
        <v>Баленос</v>
      </c>
      <c r="B30" s="14" t="str">
        <f t="shared" si="7"/>
        <v>Остров Рувиано</v>
      </c>
      <c r="C30" s="14" t="s">
        <v>737</v>
      </c>
      <c r="G30" s="12"/>
    </row>
    <row r="31" ht="12.75" customHeight="1">
      <c r="A31" s="13" t="str">
        <f t="shared" si="2"/>
        <v>Баленос</v>
      </c>
      <c r="B31" s="14" t="str">
        <f t="shared" si="7"/>
        <v>Остров Рувиано</v>
      </c>
      <c r="C31" s="14" t="s">
        <v>738</v>
      </c>
      <c r="G31" s="12"/>
    </row>
    <row r="32" ht="12.75" customHeight="1">
      <c r="A32" s="13" t="str">
        <f t="shared" si="2"/>
        <v>Баленос</v>
      </c>
      <c r="B32" s="13" t="str">
        <f>'УзлыРесы(1)'!L101</f>
        <v>Остров Руруба</v>
      </c>
      <c r="C32" s="14" t="s">
        <v>737</v>
      </c>
      <c r="G32" s="12"/>
    </row>
    <row r="33" ht="12.75" customHeight="1">
      <c r="A33" s="13" t="str">
        <f t="shared" si="2"/>
        <v>Баленос</v>
      </c>
      <c r="B33" s="14" t="str">
        <f t="shared" ref="B33:B35" si="8">B32</f>
        <v>Остров Руруба</v>
      </c>
      <c r="C33" s="14" t="s">
        <v>739</v>
      </c>
      <c r="G33" s="12"/>
    </row>
    <row r="34" ht="12.75" customHeight="1">
      <c r="A34" s="13" t="str">
        <f t="shared" si="2"/>
        <v>Баленос</v>
      </c>
      <c r="B34" s="14" t="str">
        <f t="shared" si="8"/>
        <v>Остров Руруба</v>
      </c>
      <c r="C34" s="14" t="s">
        <v>740</v>
      </c>
      <c r="G34" s="12"/>
    </row>
    <row r="35" ht="12.75" customHeight="1">
      <c r="A35" s="13" t="str">
        <f t="shared" si="2"/>
        <v>Баленос</v>
      </c>
      <c r="B35" s="14" t="str">
        <f t="shared" si="8"/>
        <v>Остров Руруба</v>
      </c>
      <c r="C35" s="14" t="s">
        <v>741</v>
      </c>
      <c r="G35" s="12"/>
    </row>
    <row r="36" ht="12.75" customHeight="1">
      <c r="A36" s="13" t="str">
        <f t="shared" si="2"/>
        <v>Баленос</v>
      </c>
      <c r="B36" s="13" t="str">
        <f>'УзлыРесы(1)'!G12</f>
        <v>Пещера гоблинов</v>
      </c>
      <c r="C36" s="14" t="s">
        <v>132</v>
      </c>
      <c r="G36" s="12"/>
    </row>
    <row r="37" ht="12.75" customHeight="1">
      <c r="A37" s="13" t="str">
        <f t="shared" si="2"/>
        <v>Баленос</v>
      </c>
      <c r="B37" s="14" t="str">
        <f t="shared" ref="B37:B39" si="9">B36</f>
        <v>Пещера гоблинов</v>
      </c>
      <c r="C37" s="14" t="s">
        <v>730</v>
      </c>
    </row>
    <row r="38" ht="12.75" customHeight="1">
      <c r="A38" s="13" t="str">
        <f t="shared" si="2"/>
        <v>Баленос</v>
      </c>
      <c r="B38" s="14" t="str">
        <f t="shared" si="9"/>
        <v>Пещера гоблинов</v>
      </c>
      <c r="C38" s="14" t="s">
        <v>145</v>
      </c>
    </row>
    <row r="39" ht="12.75" customHeight="1">
      <c r="A39" s="13" t="str">
        <f t="shared" si="2"/>
        <v>Баленос</v>
      </c>
      <c r="B39" s="14" t="str">
        <f t="shared" si="9"/>
        <v>Пещера гоблинов</v>
      </c>
      <c r="C39" s="14" t="s">
        <v>742</v>
      </c>
    </row>
    <row r="40" ht="12.75" customHeight="1">
      <c r="A40" s="13" t="str">
        <f t="shared" si="2"/>
        <v>Баленос</v>
      </c>
      <c r="B40" s="13" t="str">
        <f>'УзлыРесы(1)'!G13</f>
        <v>Роща отшельников</v>
      </c>
      <c r="C40" s="14" t="s">
        <v>743</v>
      </c>
    </row>
    <row r="41" ht="12.75" customHeight="1">
      <c r="A41" s="13" t="str">
        <f t="shared" si="2"/>
        <v>Баленос</v>
      </c>
      <c r="B41" s="14" t="str">
        <f t="shared" ref="B41:B43" si="10">B40</f>
        <v>Роща отшельников</v>
      </c>
      <c r="C41" s="14" t="s">
        <v>744</v>
      </c>
    </row>
    <row r="42" ht="12.75" customHeight="1">
      <c r="A42" s="13" t="str">
        <f t="shared" si="2"/>
        <v>Баленос</v>
      </c>
      <c r="B42" s="14" t="str">
        <f t="shared" si="10"/>
        <v>Роща отшельников</v>
      </c>
      <c r="C42" s="14" t="s">
        <v>145</v>
      </c>
    </row>
    <row r="43" ht="12.75" customHeight="1">
      <c r="A43" s="13" t="str">
        <f t="shared" si="2"/>
        <v>Баленос</v>
      </c>
      <c r="B43" s="14" t="str">
        <f t="shared" si="10"/>
        <v>Роща отшельников</v>
      </c>
      <c r="C43" s="14" t="s">
        <v>745</v>
      </c>
    </row>
    <row r="44" ht="12.75" customHeight="1">
      <c r="A44" s="13" t="str">
        <f t="shared" si="2"/>
        <v>Баленос</v>
      </c>
      <c r="B44" s="19" t="str">
        <f>'УзлыРесы(1)'!L3</f>
        <v>Каменный зал древних (скрытый)</v>
      </c>
      <c r="C44" s="14" t="s">
        <v>746</v>
      </c>
    </row>
    <row r="45" ht="12.75" customHeight="1">
      <c r="A45" s="13" t="str">
        <f t="shared" si="2"/>
        <v>Баленос</v>
      </c>
      <c r="B45" s="14" t="str">
        <f t="shared" ref="B45:B47" si="11">B44</f>
        <v>Каменный зал древних (скрытый)</v>
      </c>
      <c r="C45" s="14" t="s">
        <v>747</v>
      </c>
    </row>
    <row r="46" ht="12.75" customHeight="1">
      <c r="A46" s="13" t="str">
        <f t="shared" si="2"/>
        <v>Баленос</v>
      </c>
      <c r="B46" s="14" t="str">
        <f t="shared" si="11"/>
        <v>Каменный зал древних (скрытый)</v>
      </c>
      <c r="C46" s="14" t="s">
        <v>748</v>
      </c>
    </row>
    <row r="47" ht="12.75" customHeight="1">
      <c r="A47" s="13" t="str">
        <f t="shared" si="2"/>
        <v>Баленос</v>
      </c>
      <c r="B47" s="14" t="str">
        <f t="shared" si="11"/>
        <v>Каменный зал древних (скрытый)</v>
      </c>
      <c r="C47" s="14" t="s">
        <v>749</v>
      </c>
    </row>
    <row r="48" ht="12.75" customHeight="1">
      <c r="A48" s="13" t="str">
        <f t="shared" si="2"/>
        <v>Баленос</v>
      </c>
      <c r="B48" s="13" t="str">
        <f>'УзлыРесы(1)'!L4</f>
        <v>Пещера бесов</v>
      </c>
      <c r="C48" s="14" t="s">
        <v>145</v>
      </c>
    </row>
    <row r="49" ht="12.75" customHeight="1">
      <c r="A49" s="13" t="str">
        <f t="shared" si="2"/>
        <v>Баленос</v>
      </c>
      <c r="B49" s="34" t="str">
        <f>B48</f>
        <v>Пещера бесов</v>
      </c>
      <c r="C49" s="14" t="s">
        <v>745</v>
      </c>
    </row>
    <row r="50" ht="12.75" customHeight="1">
      <c r="A50" s="13" t="str">
        <f t="shared" si="2"/>
        <v>Баленос</v>
      </c>
      <c r="B50" s="13" t="str">
        <f>'УзлыРесы(1)'!L7</f>
        <v>Руины замка Крон</v>
      </c>
      <c r="C50" s="14" t="s">
        <v>728</v>
      </c>
    </row>
    <row r="51" ht="12.75" customHeight="1">
      <c r="A51" s="13" t="str">
        <f t="shared" si="2"/>
        <v>Баленос</v>
      </c>
      <c r="B51" s="34" t="str">
        <f>B50</f>
        <v>Руины замка Крон</v>
      </c>
      <c r="C51" s="14" t="s">
        <v>729</v>
      </c>
    </row>
    <row r="52" ht="12.75" customHeight="1">
      <c r="A52" s="13" t="str">
        <f t="shared" si="2"/>
        <v>Баленос</v>
      </c>
      <c r="B52" s="13" t="str">
        <f>'УзлыРесы(1)'!L8</f>
        <v>Холм Эхваз</v>
      </c>
      <c r="C52" s="14" t="s">
        <v>132</v>
      </c>
    </row>
    <row r="53" ht="12.75" customHeight="1">
      <c r="A53" s="13" t="str">
        <f t="shared" si="2"/>
        <v>Баленос</v>
      </c>
      <c r="B53" s="34" t="str">
        <f t="shared" ref="B53:B55" si="12">B52</f>
        <v>Холм Эхваз</v>
      </c>
      <c r="C53" s="14" t="s">
        <v>750</v>
      </c>
    </row>
    <row r="54" ht="12.75" customHeight="1">
      <c r="A54" s="13" t="str">
        <f t="shared" si="2"/>
        <v>Баленос</v>
      </c>
      <c r="B54" s="34" t="str">
        <f t="shared" si="12"/>
        <v>Холм Эхваз</v>
      </c>
      <c r="C54" s="14" t="s">
        <v>751</v>
      </c>
    </row>
    <row r="55" ht="12.75" customHeight="1">
      <c r="A55" s="13" t="str">
        <f t="shared" si="2"/>
        <v>Баленос</v>
      </c>
      <c r="B55" s="34" t="str">
        <f t="shared" si="12"/>
        <v>Холм Эхваз</v>
      </c>
      <c r="C55" s="14" t="s">
        <v>752</v>
      </c>
    </row>
    <row r="56" ht="12.75" customHeight="1">
      <c r="A56" s="13" t="str">
        <f t="shared" si="2"/>
        <v>Баленос</v>
      </c>
      <c r="B56" s="13" t="str">
        <f>'УзлыРесы(1)'!L9</f>
        <v>Лес разбойников</v>
      </c>
      <c r="C56" s="14" t="s">
        <v>753</v>
      </c>
    </row>
    <row r="57" ht="12.75" customHeight="1">
      <c r="A57" s="13" t="str">
        <f t="shared" si="2"/>
        <v>Баленос</v>
      </c>
      <c r="B57" s="34" t="str">
        <f>B56</f>
        <v>Лес разбойников</v>
      </c>
      <c r="C57" s="14" t="s">
        <v>754</v>
      </c>
    </row>
    <row r="58" ht="12.75" customHeight="1">
      <c r="A58" s="13" t="str">
        <f t="shared" si="2"/>
        <v>Баленос</v>
      </c>
      <c r="B58" s="13" t="str">
        <f>'УзлыРесы(1)'!L12</f>
        <v>Прибрежная пещера</v>
      </c>
      <c r="C58" s="14" t="s">
        <v>734</v>
      </c>
    </row>
    <row r="59" ht="12.75" customHeight="1">
      <c r="A59" s="13" t="str">
        <f t="shared" si="2"/>
        <v>Баленос</v>
      </c>
      <c r="B59" s="34" t="str">
        <f t="shared" ref="B59:B61" si="13">B58</f>
        <v>Прибрежная пещера</v>
      </c>
      <c r="C59" s="14" t="s">
        <v>755</v>
      </c>
    </row>
    <row r="60" ht="12.75" customHeight="1">
      <c r="A60" s="13" t="str">
        <f t="shared" si="2"/>
        <v>Баленос</v>
      </c>
      <c r="B60" s="34" t="str">
        <f t="shared" si="13"/>
        <v>Прибрежная пещера</v>
      </c>
      <c r="C60" s="14" t="s">
        <v>145</v>
      </c>
    </row>
    <row r="61" ht="12.75" customHeight="1">
      <c r="A61" s="13" t="str">
        <f t="shared" si="2"/>
        <v>Баленос</v>
      </c>
      <c r="B61" s="34" t="str">
        <f t="shared" si="13"/>
        <v>Прибрежная пещера</v>
      </c>
      <c r="C61" s="14" t="s">
        <v>745</v>
      </c>
    </row>
    <row r="62" ht="12.75" customHeight="1">
      <c r="A62" s="13" t="str">
        <f t="shared" si="2"/>
        <v>Баленос</v>
      </c>
      <c r="B62" s="13" t="str">
        <f>'УзлыРесы(1)'!L14</f>
        <v>Прибрежные скалы</v>
      </c>
      <c r="C62" s="14" t="s">
        <v>734</v>
      </c>
    </row>
    <row r="63" ht="12.75" customHeight="1">
      <c r="A63" s="13" t="str">
        <f t="shared" si="2"/>
        <v>Баленос</v>
      </c>
      <c r="B63" s="34" t="str">
        <f t="shared" ref="B63:B65" si="14">B62</f>
        <v>Прибрежные скалы</v>
      </c>
      <c r="C63" s="14" t="s">
        <v>755</v>
      </c>
    </row>
    <row r="64" ht="12.75" customHeight="1">
      <c r="A64" s="13" t="str">
        <f t="shared" si="2"/>
        <v>Баленос</v>
      </c>
      <c r="B64" s="34" t="str">
        <f t="shared" si="14"/>
        <v>Прибрежные скалы</v>
      </c>
      <c r="C64" s="14" t="s">
        <v>751</v>
      </c>
    </row>
    <row r="65" ht="12.75" customHeight="1">
      <c r="A65" s="13" t="str">
        <f t="shared" si="2"/>
        <v>Баленос</v>
      </c>
      <c r="B65" s="34" t="str">
        <f t="shared" si="14"/>
        <v>Прибрежные скалы</v>
      </c>
      <c r="C65" s="14" t="s">
        <v>752</v>
      </c>
    </row>
    <row r="66" ht="12.75" customHeight="1">
      <c r="A66" s="13" t="str">
        <f t="shared" si="2"/>
        <v>Баленос</v>
      </c>
      <c r="B66" s="13" t="str">
        <f>'УзлыРесы(1)'!L17</f>
        <v>Ферма Касто</v>
      </c>
      <c r="C66" s="14" t="s">
        <v>756</v>
      </c>
    </row>
    <row r="67" ht="12.75" customHeight="1">
      <c r="A67" s="13" t="str">
        <f t="shared" si="2"/>
        <v>Баленос</v>
      </c>
      <c r="B67" s="34" t="str">
        <f>B66</f>
        <v>Ферма Касто</v>
      </c>
      <c r="C67" s="14" t="s">
        <v>757</v>
      </c>
    </row>
    <row r="68" ht="12.75" customHeight="1">
      <c r="A68" s="13" t="str">
        <f t="shared" si="2"/>
        <v>Баленос</v>
      </c>
      <c r="B68" s="13" t="str">
        <f>'УзлыРесы(1)'!L18</f>
        <v>Ферма Вейла</v>
      </c>
      <c r="C68" s="14" t="s">
        <v>758</v>
      </c>
    </row>
    <row r="69" ht="12.75" customHeight="1">
      <c r="A69" s="13" t="str">
        <f t="shared" si="2"/>
        <v>Баленос</v>
      </c>
      <c r="B69" s="34" t="str">
        <f>B68</f>
        <v>Ферма Вейла</v>
      </c>
      <c r="C69" s="14" t="s">
        <v>759</v>
      </c>
    </row>
    <row r="70" ht="12.75" customHeight="1">
      <c r="A70" s="13" t="str">
        <f t="shared" si="2"/>
        <v>Баленос</v>
      </c>
      <c r="B70" s="13" t="str">
        <f>'УзлыРесы(1)'!L19</f>
        <v>Волчий холм</v>
      </c>
      <c r="C70" s="34" t="str">
        <f>'УзлыРесы(1)'!N19</f>
        <v>Древесина ясеня</v>
      </c>
    </row>
    <row r="71" ht="12.75" customHeight="1">
      <c r="A71" s="13" t="str">
        <f t="shared" si="2"/>
        <v>Баленос</v>
      </c>
      <c r="B71" s="13" t="str">
        <f>'УзлыРесы(1)'!L21</f>
        <v>Утес Фудо</v>
      </c>
      <c r="C71" s="34" t="str">
        <f>'УзлыРесы(1)'!N21</f>
        <v>Медная руда</v>
      </c>
    </row>
    <row r="72" ht="12.75" customHeight="1">
      <c r="A72" s="13" t="str">
        <f t="shared" si="2"/>
        <v>Баленос</v>
      </c>
      <c r="B72" s="13" t="str">
        <f>'УзлыРесы(1)'!L76</f>
        <v>Остров Фузара</v>
      </c>
      <c r="C72" s="14" t="s">
        <v>760</v>
      </c>
    </row>
    <row r="73" ht="12.75" customHeight="1">
      <c r="A73" s="13" t="str">
        <f t="shared" si="2"/>
        <v>Баленос</v>
      </c>
      <c r="B73" s="14" t="str">
        <f t="shared" ref="B73:B79" si="15">B72</f>
        <v>Остров Фузара</v>
      </c>
      <c r="C73" s="14" t="s">
        <v>738</v>
      </c>
    </row>
    <row r="74" ht="12.75" customHeight="1">
      <c r="A74" s="13" t="str">
        <f t="shared" si="2"/>
        <v>Баленос</v>
      </c>
      <c r="B74" s="14" t="str">
        <f t="shared" si="15"/>
        <v>Остров Фузара</v>
      </c>
      <c r="C74" s="14" t="s">
        <v>739</v>
      </c>
    </row>
    <row r="75" ht="12.75" customHeight="1">
      <c r="A75" s="13" t="str">
        <f t="shared" si="2"/>
        <v>Баленос</v>
      </c>
      <c r="B75" s="14" t="str">
        <f t="shared" si="15"/>
        <v>Остров Фузара</v>
      </c>
      <c r="C75" s="14" t="s">
        <v>761</v>
      </c>
    </row>
    <row r="76" ht="12.75" customHeight="1">
      <c r="A76" s="13" t="str">
        <f t="shared" si="2"/>
        <v>Баленос</v>
      </c>
      <c r="B76" s="14" t="str">
        <f t="shared" si="15"/>
        <v>Остров Фузара</v>
      </c>
      <c r="C76" s="14" t="s">
        <v>737</v>
      </c>
    </row>
    <row r="77" ht="12.75" customHeight="1">
      <c r="A77" s="13" t="str">
        <f t="shared" si="2"/>
        <v>Баленос</v>
      </c>
      <c r="B77" s="14" t="str">
        <f t="shared" si="15"/>
        <v>Остров Фузара</v>
      </c>
      <c r="C77" s="14" t="s">
        <v>735</v>
      </c>
    </row>
    <row r="78" ht="12.75" customHeight="1">
      <c r="A78" s="13" t="str">
        <f t="shared" si="2"/>
        <v>Баленос</v>
      </c>
      <c r="B78" s="14" t="str">
        <f t="shared" si="15"/>
        <v>Остров Фузара</v>
      </c>
      <c r="C78" s="14" t="s">
        <v>738</v>
      </c>
    </row>
    <row r="79" ht="12.75" customHeight="1">
      <c r="A79" s="13" t="str">
        <f t="shared" si="2"/>
        <v>Баленос</v>
      </c>
      <c r="B79" s="14" t="str">
        <f t="shared" si="15"/>
        <v>Остров Фузара</v>
      </c>
      <c r="C79" s="14" t="s">
        <v>762</v>
      </c>
    </row>
    <row r="80" ht="12.75" customHeight="1">
      <c r="A80" s="13" t="str">
        <f t="shared" si="2"/>
        <v>Баленос</v>
      </c>
      <c r="B80" s="19" t="str">
        <f>'УзлыРесы(1)'!L78</f>
        <v>Остров Альхана (скрытый)</v>
      </c>
      <c r="C80" s="14" t="s">
        <v>763</v>
      </c>
    </row>
    <row r="81" ht="12.75" customHeight="1">
      <c r="A81" s="13" t="str">
        <f t="shared" si="2"/>
        <v>Баленос</v>
      </c>
      <c r="B81" s="14" t="str">
        <f t="shared" ref="B81:B82" si="16">B80</f>
        <v>Остров Альхана (скрытый)</v>
      </c>
      <c r="C81" s="14" t="s">
        <v>733</v>
      </c>
    </row>
    <row r="82" ht="12.75" customHeight="1">
      <c r="A82" s="13" t="str">
        <f t="shared" si="2"/>
        <v>Баленос</v>
      </c>
      <c r="B82" s="14" t="str">
        <f t="shared" si="16"/>
        <v>Остров Альхана (скрытый)</v>
      </c>
      <c r="C82" s="14" t="s">
        <v>734</v>
      </c>
    </row>
    <row r="83" ht="12.75" customHeight="1">
      <c r="A83" s="13" t="str">
        <f t="shared" si="2"/>
        <v>Баленос</v>
      </c>
      <c r="B83" s="13" t="str">
        <f>'УзлыРесы(1)'!L81</f>
        <v>Остров Войта</v>
      </c>
      <c r="C83" s="14" t="s">
        <v>764</v>
      </c>
    </row>
    <row r="84" ht="12.75" customHeight="1">
      <c r="A84" s="13" t="str">
        <f t="shared" si="2"/>
        <v>Баленос</v>
      </c>
      <c r="B84" s="14" t="str">
        <f t="shared" ref="B84:B86" si="17">B83</f>
        <v>Остров Войта</v>
      </c>
      <c r="C84" s="14" t="s">
        <v>765</v>
      </c>
    </row>
    <row r="85" ht="12.75" customHeight="1">
      <c r="A85" s="13" t="str">
        <f t="shared" si="2"/>
        <v>Баленос</v>
      </c>
      <c r="B85" s="14" t="str">
        <f t="shared" si="17"/>
        <v>Остров Войта</v>
      </c>
      <c r="C85" s="14" t="s">
        <v>766</v>
      </c>
    </row>
    <row r="86" ht="12.75" customHeight="1">
      <c r="A86" s="13" t="str">
        <f t="shared" si="2"/>
        <v>Баленос</v>
      </c>
      <c r="B86" s="14" t="str">
        <f t="shared" si="17"/>
        <v>Остров Войта</v>
      </c>
      <c r="C86" s="14" t="s">
        <v>767</v>
      </c>
    </row>
    <row r="87" ht="12.75" customHeight="1">
      <c r="A87" s="13" t="str">
        <f t="shared" si="2"/>
        <v>Баленос</v>
      </c>
      <c r="B87" s="13" t="str">
        <f>'УзлыРесы(1)'!L87</f>
        <v>Остров Орфс</v>
      </c>
      <c r="C87" s="14" t="s">
        <v>768</v>
      </c>
    </row>
    <row r="88" ht="12.75" customHeight="1">
      <c r="A88" s="13" t="str">
        <f t="shared" si="2"/>
        <v>Баленос</v>
      </c>
      <c r="B88" s="14" t="str">
        <f t="shared" ref="B88:B94" si="18">B87</f>
        <v>Остров Орфс</v>
      </c>
      <c r="C88" s="14" t="s">
        <v>737</v>
      </c>
    </row>
    <row r="89" ht="12.75" customHeight="1">
      <c r="A89" s="13" t="str">
        <f t="shared" si="2"/>
        <v>Баленос</v>
      </c>
      <c r="B89" s="14" t="str">
        <f t="shared" si="18"/>
        <v>Остров Орфс</v>
      </c>
      <c r="C89" s="14" t="s">
        <v>735</v>
      </c>
    </row>
    <row r="90" ht="12.75" customHeight="1">
      <c r="A90" s="13" t="str">
        <f t="shared" si="2"/>
        <v>Баленос</v>
      </c>
      <c r="B90" s="14" t="str">
        <f t="shared" si="18"/>
        <v>Остров Орфс</v>
      </c>
      <c r="C90" s="14" t="s">
        <v>769</v>
      </c>
    </row>
    <row r="91" ht="12.75" customHeight="1">
      <c r="A91" s="13" t="str">
        <f t="shared" si="2"/>
        <v>Баленос</v>
      </c>
      <c r="B91" s="14" t="str">
        <f t="shared" si="18"/>
        <v>Остров Орфс</v>
      </c>
      <c r="C91" s="14" t="s">
        <v>760</v>
      </c>
    </row>
    <row r="92" ht="12.75" customHeight="1">
      <c r="A92" s="13" t="str">
        <f t="shared" si="2"/>
        <v>Баленос</v>
      </c>
      <c r="B92" s="14" t="str">
        <f t="shared" si="18"/>
        <v>Остров Орфс</v>
      </c>
      <c r="C92" s="14" t="s">
        <v>736</v>
      </c>
    </row>
    <row r="93" ht="12.75" customHeight="1">
      <c r="A93" s="13" t="str">
        <f t="shared" si="2"/>
        <v>Баленос</v>
      </c>
      <c r="B93" s="14" t="str">
        <f t="shared" si="18"/>
        <v>Остров Орфс</v>
      </c>
      <c r="C93" s="14" t="s">
        <v>739</v>
      </c>
    </row>
    <row r="94" ht="12.75" customHeight="1">
      <c r="A94" s="13" t="str">
        <f t="shared" si="2"/>
        <v>Баленос</v>
      </c>
      <c r="B94" s="14" t="str">
        <f t="shared" si="18"/>
        <v>Остров Орфс</v>
      </c>
      <c r="C94" s="14" t="s">
        <v>769</v>
      </c>
    </row>
    <row r="95" ht="12.75" customHeight="1">
      <c r="A95" s="13" t="str">
        <f t="shared" si="2"/>
        <v>Баленос</v>
      </c>
      <c r="B95" s="13" t="str">
        <f>'УзлыРесы(1)'!L91</f>
        <v>Остров Маривэйно</v>
      </c>
      <c r="C95" s="14" t="s">
        <v>737</v>
      </c>
    </row>
    <row r="96" ht="12.75" customHeight="1">
      <c r="A96" s="13" t="str">
        <f t="shared" si="2"/>
        <v>Баленос</v>
      </c>
      <c r="B96" s="14" t="str">
        <f t="shared" ref="B96:B102" si="19">B95</f>
        <v>Остров Маривэйно</v>
      </c>
      <c r="C96" s="14" t="s">
        <v>770</v>
      </c>
    </row>
    <row r="97" ht="12.75" customHeight="1">
      <c r="A97" s="13" t="str">
        <f t="shared" si="2"/>
        <v>Баленос</v>
      </c>
      <c r="B97" s="14" t="str">
        <f t="shared" si="19"/>
        <v>Остров Маривэйно</v>
      </c>
      <c r="C97" s="14" t="s">
        <v>739</v>
      </c>
    </row>
    <row r="98" ht="12.75" customHeight="1">
      <c r="A98" s="13" t="str">
        <f t="shared" si="2"/>
        <v>Баленос</v>
      </c>
      <c r="B98" s="14" t="str">
        <f t="shared" si="19"/>
        <v>Остров Маривэйно</v>
      </c>
      <c r="C98" s="14" t="s">
        <v>771</v>
      </c>
    </row>
    <row r="99" ht="12.75" customHeight="1">
      <c r="A99" s="13" t="str">
        <f t="shared" si="2"/>
        <v>Баленос</v>
      </c>
      <c r="B99" s="14" t="str">
        <f t="shared" si="19"/>
        <v>Остров Маривэйно</v>
      </c>
      <c r="C99" s="14" t="s">
        <v>737</v>
      </c>
    </row>
    <row r="100" ht="12.75" customHeight="1">
      <c r="A100" s="13" t="str">
        <f t="shared" si="2"/>
        <v>Баленос</v>
      </c>
      <c r="B100" s="14" t="str">
        <f t="shared" si="19"/>
        <v>Остров Маривэйно</v>
      </c>
      <c r="C100" s="14" t="s">
        <v>760</v>
      </c>
    </row>
    <row r="101" ht="12.75" customHeight="1">
      <c r="A101" s="13" t="str">
        <f t="shared" si="2"/>
        <v>Баленос</v>
      </c>
      <c r="B101" s="14" t="str">
        <f t="shared" si="19"/>
        <v>Остров Маривэйно</v>
      </c>
      <c r="C101" s="14" t="s">
        <v>738</v>
      </c>
    </row>
    <row r="102" ht="12.75" customHeight="1">
      <c r="A102" s="13" t="str">
        <f t="shared" si="2"/>
        <v>Баленос</v>
      </c>
      <c r="B102" s="14" t="str">
        <f t="shared" si="19"/>
        <v>Остров Маривэйно</v>
      </c>
      <c r="C102" s="14" t="s">
        <v>772</v>
      </c>
    </row>
    <row r="103" ht="12.75" customHeight="1">
      <c r="A103" s="13" t="str">
        <f t="shared" si="2"/>
        <v>Баленос</v>
      </c>
      <c r="B103" s="13" t="str">
        <f>'УзлыРесы(1)'!L92</f>
        <v>Остров Фаратама</v>
      </c>
      <c r="C103" s="14" t="s">
        <v>737</v>
      </c>
    </row>
    <row r="104" ht="12.75" customHeight="1">
      <c r="A104" s="13" t="str">
        <f t="shared" si="2"/>
        <v>Баленос</v>
      </c>
      <c r="B104" s="14" t="str">
        <f t="shared" ref="B104:B106" si="20">B103</f>
        <v>Остров Фаратама</v>
      </c>
      <c r="C104" s="14" t="s">
        <v>736</v>
      </c>
    </row>
    <row r="105" ht="12.75" customHeight="1">
      <c r="A105" s="13" t="str">
        <f t="shared" si="2"/>
        <v>Баленос</v>
      </c>
      <c r="B105" s="14" t="str">
        <f t="shared" si="20"/>
        <v>Остров Фаратама</v>
      </c>
      <c r="C105" s="14" t="s">
        <v>773</v>
      </c>
    </row>
    <row r="106" ht="12.75" customHeight="1">
      <c r="A106" s="13" t="str">
        <f t="shared" si="2"/>
        <v>Баленос</v>
      </c>
      <c r="B106" s="14" t="str">
        <f t="shared" si="20"/>
        <v>Остров Фаратама</v>
      </c>
      <c r="C106" s="14" t="s">
        <v>767</v>
      </c>
    </row>
    <row r="107" ht="12.75" customHeight="1">
      <c r="A107" s="13" t="str">
        <f t="shared" si="2"/>
        <v>Баленос</v>
      </c>
      <c r="B107" s="13" t="str">
        <f>'УзлыРесы(1)'!L96</f>
        <v>Остров Инвонен</v>
      </c>
      <c r="C107" s="14" t="s">
        <v>737</v>
      </c>
    </row>
    <row r="108" ht="12.75" customHeight="1">
      <c r="A108" s="13" t="str">
        <f t="shared" si="2"/>
        <v>Баленос</v>
      </c>
      <c r="B108" s="14" t="str">
        <f t="shared" ref="B108:B114" si="21">B107</f>
        <v>Остров Инвонен</v>
      </c>
      <c r="C108" s="14" t="s">
        <v>768</v>
      </c>
    </row>
    <row r="109" ht="12.75" customHeight="1">
      <c r="A109" s="13" t="str">
        <f t="shared" si="2"/>
        <v>Баленос</v>
      </c>
      <c r="B109" s="14" t="str">
        <f t="shared" si="21"/>
        <v>Остров Инвонен</v>
      </c>
      <c r="C109" s="14" t="s">
        <v>735</v>
      </c>
    </row>
    <row r="110" ht="12.75" customHeight="1">
      <c r="A110" s="13" t="str">
        <f t="shared" si="2"/>
        <v>Баленос</v>
      </c>
      <c r="B110" s="14" t="str">
        <f t="shared" si="21"/>
        <v>Остров Инвонен</v>
      </c>
      <c r="C110" s="14" t="s">
        <v>774</v>
      </c>
    </row>
    <row r="111" ht="12.75" customHeight="1">
      <c r="A111" s="13" t="str">
        <f t="shared" si="2"/>
        <v>Баленос</v>
      </c>
      <c r="B111" s="14" t="str">
        <f t="shared" si="21"/>
        <v>Остров Инвонен</v>
      </c>
      <c r="C111" s="14" t="s">
        <v>768</v>
      </c>
    </row>
    <row r="112" ht="12.75" customHeight="1">
      <c r="A112" s="13" t="str">
        <f t="shared" si="2"/>
        <v>Баленос</v>
      </c>
      <c r="B112" s="14" t="str">
        <f t="shared" si="21"/>
        <v>Остров Инвонен</v>
      </c>
      <c r="C112" s="14" t="s">
        <v>735</v>
      </c>
    </row>
    <row r="113" ht="12.75" customHeight="1">
      <c r="A113" s="13" t="str">
        <f t="shared" si="2"/>
        <v>Баленос</v>
      </c>
      <c r="B113" s="14" t="str">
        <f t="shared" si="21"/>
        <v>Остров Инвонен</v>
      </c>
      <c r="C113" s="14" t="s">
        <v>737</v>
      </c>
    </row>
    <row r="114" ht="12.75" customHeight="1">
      <c r="A114" s="13" t="str">
        <f t="shared" si="2"/>
        <v>Баленос</v>
      </c>
      <c r="B114" s="14" t="str">
        <f t="shared" si="21"/>
        <v>Остров Инвонен</v>
      </c>
      <c r="C114" s="14" t="s">
        <v>738</v>
      </c>
    </row>
    <row r="115" ht="12.75" customHeight="1">
      <c r="A115" s="13" t="str">
        <f t="shared" si="2"/>
        <v>Баленос</v>
      </c>
      <c r="B115" s="13" t="str">
        <f>'УзлыРесы(1)'!L97</f>
        <v>Остров Анджу</v>
      </c>
      <c r="C115" s="14" t="s">
        <v>737</v>
      </c>
    </row>
    <row r="116" ht="12.75" customHeight="1">
      <c r="A116" s="13" t="str">
        <f t="shared" si="2"/>
        <v>Баленос</v>
      </c>
      <c r="B116" s="14" t="str">
        <f t="shared" ref="B116:B122" si="22">B115</f>
        <v>Остров Анджу</v>
      </c>
      <c r="C116" s="14" t="s">
        <v>760</v>
      </c>
    </row>
    <row r="117" ht="12.75" customHeight="1">
      <c r="A117" s="13" t="str">
        <f t="shared" si="2"/>
        <v>Баленос</v>
      </c>
      <c r="B117" s="14" t="str">
        <f t="shared" si="22"/>
        <v>Остров Анджу</v>
      </c>
      <c r="C117" s="14" t="s">
        <v>738</v>
      </c>
    </row>
    <row r="118" ht="12.75" customHeight="1">
      <c r="A118" s="13" t="str">
        <f t="shared" si="2"/>
        <v>Баленос</v>
      </c>
      <c r="B118" s="14" t="str">
        <f t="shared" si="22"/>
        <v>Остров Анджу</v>
      </c>
      <c r="C118" s="14" t="s">
        <v>770</v>
      </c>
    </row>
    <row r="119" ht="12.75" customHeight="1">
      <c r="A119" s="13" t="str">
        <f t="shared" si="2"/>
        <v>Баленос</v>
      </c>
      <c r="B119" s="14" t="str">
        <f t="shared" si="22"/>
        <v>Остров Анджу</v>
      </c>
      <c r="C119" s="14" t="s">
        <v>735</v>
      </c>
    </row>
    <row r="120" ht="12.75" customHeight="1">
      <c r="A120" s="13" t="str">
        <f t="shared" si="2"/>
        <v>Баленос</v>
      </c>
      <c r="B120" s="14" t="str">
        <f t="shared" si="22"/>
        <v>Остров Анджу</v>
      </c>
      <c r="C120" s="14" t="s">
        <v>737</v>
      </c>
    </row>
    <row r="121" ht="12.75" customHeight="1">
      <c r="A121" s="13" t="str">
        <f t="shared" si="2"/>
        <v>Баленос</v>
      </c>
      <c r="B121" s="14" t="str">
        <f t="shared" si="22"/>
        <v>Остров Анджу</v>
      </c>
      <c r="C121" s="14" t="s">
        <v>770</v>
      </c>
    </row>
    <row r="122" ht="12.75" customHeight="1">
      <c r="A122" s="13" t="str">
        <f t="shared" si="2"/>
        <v>Баленос</v>
      </c>
      <c r="B122" s="14" t="str">
        <f t="shared" si="22"/>
        <v>Остров Анджу</v>
      </c>
      <c r="C122" s="14" t="s">
        <v>739</v>
      </c>
    </row>
    <row r="123" ht="12.75" customHeight="1">
      <c r="A123" s="13" t="str">
        <f t="shared" si="2"/>
        <v>Баленос</v>
      </c>
      <c r="B123" s="13" t="str">
        <f>'УзлыРесы(1)'!L99</f>
        <v>Остров Эфдэ Рун</v>
      </c>
      <c r="C123" s="14" t="s">
        <v>735</v>
      </c>
    </row>
    <row r="124" ht="12.75" customHeight="1">
      <c r="A124" s="13" t="str">
        <f t="shared" si="2"/>
        <v>Баленос</v>
      </c>
      <c r="B124" s="14" t="str">
        <f t="shared" ref="B124:B126" si="23">B123</f>
        <v>Остров Эфдэ Рун</v>
      </c>
      <c r="C124" s="14" t="s">
        <v>737</v>
      </c>
    </row>
    <row r="125" ht="12.75" customHeight="1">
      <c r="A125" s="13" t="str">
        <f t="shared" si="2"/>
        <v>Баленос</v>
      </c>
      <c r="B125" s="14" t="str">
        <f t="shared" si="23"/>
        <v>Остров Эфдэ Рун</v>
      </c>
      <c r="C125" s="14" t="s">
        <v>760</v>
      </c>
    </row>
    <row r="126" ht="12.75" customHeight="1">
      <c r="A126" s="13" t="str">
        <f t="shared" si="2"/>
        <v>Баленос</v>
      </c>
      <c r="B126" s="14" t="str">
        <f t="shared" si="23"/>
        <v>Остров Эфдэ Рун</v>
      </c>
      <c r="C126" s="14" t="s">
        <v>738</v>
      </c>
    </row>
    <row r="127" ht="12.75" customHeight="1">
      <c r="A127" s="13" t="str">
        <f t="shared" si="2"/>
        <v>Баленос</v>
      </c>
      <c r="B127" s="13" t="str">
        <f>'УзлыРесы(1)'!L102</f>
        <v>Остров Старэн</v>
      </c>
      <c r="C127" s="14" t="s">
        <v>737</v>
      </c>
    </row>
    <row r="128" ht="12.75" customHeight="1">
      <c r="A128" s="13" t="str">
        <f t="shared" si="2"/>
        <v>Баленос</v>
      </c>
      <c r="B128" s="14" t="str">
        <f t="shared" ref="B128:B134" si="24">B127</f>
        <v>Остров Старэн</v>
      </c>
      <c r="C128" s="14" t="s">
        <v>775</v>
      </c>
    </row>
    <row r="129" ht="12.75" customHeight="1">
      <c r="A129" s="13" t="str">
        <f t="shared" si="2"/>
        <v>Баленос</v>
      </c>
      <c r="B129" s="14" t="str">
        <f t="shared" si="24"/>
        <v>Остров Старэн</v>
      </c>
      <c r="C129" s="14" t="s">
        <v>740</v>
      </c>
    </row>
    <row r="130" ht="12.75" customHeight="1">
      <c r="A130" s="13" t="str">
        <f t="shared" si="2"/>
        <v>Баленос</v>
      </c>
      <c r="B130" s="14" t="str">
        <f t="shared" si="24"/>
        <v>Остров Старэн</v>
      </c>
      <c r="C130" s="14" t="s">
        <v>741</v>
      </c>
    </row>
    <row r="131" ht="12.75" customHeight="1">
      <c r="A131" s="13" t="str">
        <f t="shared" si="2"/>
        <v>Баленос</v>
      </c>
      <c r="B131" s="14" t="str">
        <f t="shared" si="24"/>
        <v>Остров Старэн</v>
      </c>
      <c r="C131" s="14" t="s">
        <v>735</v>
      </c>
    </row>
    <row r="132" ht="12.75" customHeight="1">
      <c r="A132" s="13" t="str">
        <f t="shared" si="2"/>
        <v>Баленос</v>
      </c>
      <c r="B132" s="14" t="str">
        <f t="shared" si="24"/>
        <v>Остров Старэн</v>
      </c>
      <c r="C132" s="14" t="s">
        <v>760</v>
      </c>
    </row>
    <row r="133" ht="12.75" customHeight="1">
      <c r="A133" s="13" t="str">
        <f t="shared" si="2"/>
        <v>Баленос</v>
      </c>
      <c r="B133" s="14" t="str">
        <f t="shared" si="24"/>
        <v>Остров Старэн</v>
      </c>
      <c r="C133" s="14" t="s">
        <v>776</v>
      </c>
    </row>
    <row r="134" ht="12.75" customHeight="1">
      <c r="A134" s="13" t="str">
        <f t="shared" si="2"/>
        <v>Баленос</v>
      </c>
      <c r="B134" s="14" t="str">
        <f t="shared" si="24"/>
        <v>Остров Старэн</v>
      </c>
      <c r="C134" s="14" t="s">
        <v>777</v>
      </c>
    </row>
    <row r="135" ht="12.75" customHeight="1">
      <c r="A135" s="13" t="str">
        <f t="shared" si="2"/>
        <v>Баленос</v>
      </c>
      <c r="B135" s="13" t="str">
        <f>'УзлыРесы(1)'!L103</f>
        <v>Остров Рисч</v>
      </c>
      <c r="C135" s="14" t="s">
        <v>737</v>
      </c>
    </row>
    <row r="136" ht="12.75" customHeight="1">
      <c r="A136" s="13" t="str">
        <f t="shared" si="2"/>
        <v>Баленос</v>
      </c>
      <c r="B136" s="14" t="str">
        <f t="shared" ref="B136:B142" si="25">B135</f>
        <v>Остров Рисч</v>
      </c>
      <c r="C136" s="14" t="s">
        <v>770</v>
      </c>
    </row>
    <row r="137" ht="12.75" customHeight="1">
      <c r="A137" s="13" t="str">
        <f t="shared" si="2"/>
        <v>Баленос</v>
      </c>
      <c r="B137" s="14" t="str">
        <f t="shared" si="25"/>
        <v>Остров Рисч</v>
      </c>
      <c r="C137" s="14" t="s">
        <v>740</v>
      </c>
    </row>
    <row r="138" ht="12.75" customHeight="1">
      <c r="A138" s="13" t="str">
        <f t="shared" si="2"/>
        <v>Баленос</v>
      </c>
      <c r="B138" s="14" t="str">
        <f t="shared" si="25"/>
        <v>Остров Рисч</v>
      </c>
      <c r="C138" s="14" t="s">
        <v>741</v>
      </c>
    </row>
    <row r="139" ht="12.75" customHeight="1">
      <c r="A139" s="13" t="str">
        <f t="shared" si="2"/>
        <v>Баленос</v>
      </c>
      <c r="B139" s="14" t="str">
        <f t="shared" si="25"/>
        <v>Остров Рисч</v>
      </c>
      <c r="C139" s="14" t="s">
        <v>735</v>
      </c>
    </row>
    <row r="140" ht="12.75" customHeight="1">
      <c r="A140" s="13" t="str">
        <f t="shared" si="2"/>
        <v>Баленос</v>
      </c>
      <c r="B140" s="14" t="str">
        <f t="shared" si="25"/>
        <v>Остров Рисч</v>
      </c>
      <c r="C140" s="14" t="s">
        <v>760</v>
      </c>
    </row>
    <row r="141" ht="12.75" customHeight="1">
      <c r="A141" s="13" t="str">
        <f t="shared" si="2"/>
        <v>Баленос</v>
      </c>
      <c r="B141" s="14" t="str">
        <f t="shared" si="25"/>
        <v>Остров Рисч</v>
      </c>
      <c r="C141" s="14" t="s">
        <v>738</v>
      </c>
    </row>
    <row r="142" ht="12.75" customHeight="1">
      <c r="A142" s="13" t="str">
        <f t="shared" si="2"/>
        <v>Баленос</v>
      </c>
      <c r="B142" s="14" t="str">
        <f t="shared" si="25"/>
        <v>Остров Рисч</v>
      </c>
      <c r="C142" s="14" t="s">
        <v>777</v>
      </c>
    </row>
    <row r="143" ht="12.75" customHeight="1">
      <c r="A143" s="13" t="str">
        <f t="shared" si="2"/>
        <v>Баленос</v>
      </c>
      <c r="B143" s="19" t="str">
        <f>'УзлыРесы(1)'!Q24</f>
        <v>Остров Веры (скрытый)</v>
      </c>
      <c r="C143" s="14" t="s">
        <v>778</v>
      </c>
    </row>
    <row r="144" ht="12.75" customHeight="1">
      <c r="A144" s="13" t="str">
        <f t="shared" si="2"/>
        <v>Баленос</v>
      </c>
      <c r="B144" s="14" t="str">
        <f t="shared" ref="B144:B145" si="26">B143</f>
        <v>Остров Веры (скрытый)</v>
      </c>
      <c r="C144" s="14" t="s">
        <v>733</v>
      </c>
    </row>
    <row r="145" ht="12.75" customHeight="1">
      <c r="A145" s="13" t="str">
        <f t="shared" si="2"/>
        <v>Баленос</v>
      </c>
      <c r="B145" s="14" t="str">
        <f t="shared" si="26"/>
        <v>Остров Веры (скрытый)</v>
      </c>
      <c r="C145" s="14" t="s">
        <v>734</v>
      </c>
    </row>
    <row r="146" ht="12.75" customHeight="1">
      <c r="A146" s="13" t="str">
        <f t="shared" si="2"/>
        <v>Баленос</v>
      </c>
      <c r="B146" s="19" t="str">
        <f>'УзлыРесы(1)'!Q25</f>
        <v>Остров Хошита (скрытый)</v>
      </c>
      <c r="C146" s="14" t="s">
        <v>779</v>
      </c>
    </row>
    <row r="147" ht="12.75" customHeight="1">
      <c r="A147" s="13" t="str">
        <f t="shared" si="2"/>
        <v>Баленос</v>
      </c>
      <c r="B147" s="34" t="str">
        <f t="shared" ref="B147:B148" si="27">B146</f>
        <v>Остров Хошита (скрытый)</v>
      </c>
      <c r="C147" s="14" t="s">
        <v>733</v>
      </c>
    </row>
    <row r="148" ht="12.75" customHeight="1">
      <c r="A148" s="28" t="str">
        <f t="shared" si="2"/>
        <v>Баленос</v>
      </c>
      <c r="B148" s="30" t="str">
        <f t="shared" si="27"/>
        <v>Остров Хошита (скрытый)</v>
      </c>
      <c r="C148" s="30" t="s">
        <v>734</v>
      </c>
    </row>
    <row r="149" ht="12.75" customHeight="1">
      <c r="A149" s="18" t="str">
        <f>'УзлыРесы(1)'!C14</f>
        <v>Серендия</v>
      </c>
      <c r="B149" s="18" t="str">
        <f>'УзлыРесы(1)'!B14</f>
        <v>Хидель</v>
      </c>
      <c r="C149" s="14" t="s">
        <v>720</v>
      </c>
    </row>
    <row r="150" ht="12.75" customHeight="1">
      <c r="A150" s="18" t="str">
        <f t="shared" ref="A150:B150" si="28">A149</f>
        <v>Серендия</v>
      </c>
      <c r="B150" s="34" t="str">
        <f t="shared" si="28"/>
        <v>Хидель</v>
      </c>
      <c r="C150" s="14" t="s">
        <v>721</v>
      </c>
    </row>
    <row r="151" ht="12.75" customHeight="1">
      <c r="A151" s="18" t="str">
        <f t="shared" ref="A151:A201" si="29">A150</f>
        <v>Серендия</v>
      </c>
      <c r="B151" s="18" t="str">
        <f>'УзлыРесы(1)'!B29</f>
        <v>Город Глиши</v>
      </c>
      <c r="C151" s="14" t="s">
        <v>780</v>
      </c>
    </row>
    <row r="152" ht="12.75" customHeight="1">
      <c r="A152" s="18" t="str">
        <f t="shared" si="29"/>
        <v>Серендия</v>
      </c>
      <c r="B152" s="34" t="str">
        <f t="shared" ref="B152:B153" si="30">B151</f>
        <v>Город Глиши</v>
      </c>
      <c r="C152" s="14" t="s">
        <v>720</v>
      </c>
    </row>
    <row r="153" ht="12.75" customHeight="1">
      <c r="A153" s="18" t="str">
        <f t="shared" si="29"/>
        <v>Серендия</v>
      </c>
      <c r="B153" s="34" t="str">
        <f t="shared" si="30"/>
        <v>Город Глиши</v>
      </c>
      <c r="C153" s="14" t="s">
        <v>721</v>
      </c>
    </row>
    <row r="154" ht="12.75" customHeight="1">
      <c r="A154" s="18" t="str">
        <f t="shared" si="29"/>
        <v>Серендия</v>
      </c>
      <c r="B154" s="18" t="str">
        <f>'УзлыРесы(1)'!G3</f>
        <v>Ферма Алехандро</v>
      </c>
      <c r="C154" s="14" t="s">
        <v>781</v>
      </c>
    </row>
    <row r="155" ht="12.75" customHeight="1">
      <c r="A155" s="18" t="str">
        <f t="shared" si="29"/>
        <v>Серендия</v>
      </c>
      <c r="B155" s="34" t="str">
        <f t="shared" ref="B155:B156" si="31">B154</f>
        <v>Ферма Алехандро</v>
      </c>
      <c r="C155" s="14" t="s">
        <v>782</v>
      </c>
    </row>
    <row r="156" ht="12.75" customHeight="1">
      <c r="A156" s="18" t="str">
        <f t="shared" si="29"/>
        <v>Серендия</v>
      </c>
      <c r="B156" s="34" t="str">
        <f t="shared" si="31"/>
        <v>Ферма Алехандро</v>
      </c>
      <c r="C156" s="14" t="s">
        <v>783</v>
      </c>
    </row>
    <row r="157" ht="12.75" customHeight="1">
      <c r="A157" s="18" t="str">
        <f t="shared" si="29"/>
        <v>Серендия</v>
      </c>
      <c r="B157" s="18" t="str">
        <f>'УзлыРесы(1)'!L26</f>
        <v>Ферма Коста</v>
      </c>
      <c r="C157" s="14" t="s">
        <v>784</v>
      </c>
    </row>
    <row r="158" ht="12.75" customHeight="1">
      <c r="A158" s="18" t="str">
        <f t="shared" si="29"/>
        <v>Серендия</v>
      </c>
      <c r="B158" s="34" t="str">
        <f t="shared" ref="B158:B161" si="32">B157</f>
        <v>Ферма Коста</v>
      </c>
      <c r="C158" s="14" t="s">
        <v>781</v>
      </c>
    </row>
    <row r="159" ht="12.75" customHeight="1">
      <c r="A159" s="18" t="str">
        <f t="shared" si="29"/>
        <v>Серендия</v>
      </c>
      <c r="B159" s="34" t="str">
        <f t="shared" si="32"/>
        <v>Ферма Коста</v>
      </c>
      <c r="C159" s="14" t="s">
        <v>785</v>
      </c>
    </row>
    <row r="160" ht="12.75" customHeight="1">
      <c r="A160" s="18" t="str">
        <f t="shared" si="29"/>
        <v>Серендия</v>
      </c>
      <c r="B160" s="34" t="str">
        <f t="shared" si="32"/>
        <v>Ферма Коста</v>
      </c>
      <c r="C160" s="14" t="s">
        <v>786</v>
      </c>
    </row>
    <row r="161" ht="12.75" customHeight="1">
      <c r="A161" s="18" t="str">
        <f t="shared" si="29"/>
        <v>Серендия</v>
      </c>
      <c r="B161" s="34" t="str">
        <f t="shared" si="32"/>
        <v>Ферма Коста</v>
      </c>
      <c r="C161" s="14" t="s">
        <v>787</v>
      </c>
    </row>
    <row r="162" ht="12.75" customHeight="1">
      <c r="A162" s="18" t="str">
        <f t="shared" si="29"/>
        <v>Серендия</v>
      </c>
      <c r="B162" s="18" t="str">
        <f>'УзлыРесы(1)'!L27</f>
        <v>Плантация Моретти</v>
      </c>
      <c r="C162" s="14" t="s">
        <v>784</v>
      </c>
    </row>
    <row r="163" ht="12.75" customHeight="1">
      <c r="A163" s="18" t="str">
        <f t="shared" si="29"/>
        <v>Серендия</v>
      </c>
      <c r="B163" s="34" t="str">
        <f t="shared" ref="B163:B165" si="33">B162</f>
        <v>Плантация Моретти</v>
      </c>
      <c r="C163" s="14" t="s">
        <v>785</v>
      </c>
    </row>
    <row r="164" ht="12.75" customHeight="1">
      <c r="A164" s="18" t="str">
        <f t="shared" si="29"/>
        <v>Серендия</v>
      </c>
      <c r="B164" s="34" t="str">
        <f t="shared" si="33"/>
        <v>Плантация Моретти</v>
      </c>
      <c r="C164" s="14" t="s">
        <v>786</v>
      </c>
    </row>
    <row r="165" ht="12.75" customHeight="1">
      <c r="A165" s="18" t="str">
        <f t="shared" si="29"/>
        <v>Серендия</v>
      </c>
      <c r="B165" s="34" t="str">
        <f t="shared" si="33"/>
        <v>Плантация Моретти</v>
      </c>
      <c r="C165" s="14" t="s">
        <v>788</v>
      </c>
    </row>
    <row r="166" ht="12.75" customHeight="1">
      <c r="A166" s="18" t="str">
        <f t="shared" si="29"/>
        <v>Серендия</v>
      </c>
      <c r="B166" s="18" t="str">
        <f>'УзлыРесы(1)'!L29</f>
        <v>Ранчо Линчей</v>
      </c>
      <c r="C166" s="14" t="s">
        <v>789</v>
      </c>
    </row>
    <row r="167" ht="12.75" customHeight="1">
      <c r="A167" s="18" t="str">
        <f t="shared" si="29"/>
        <v>Серендия</v>
      </c>
      <c r="B167" s="34" t="str">
        <f>B166</f>
        <v>Ранчо Линчей</v>
      </c>
      <c r="C167" s="14" t="s">
        <v>790</v>
      </c>
    </row>
    <row r="168" ht="12.75" customHeight="1">
      <c r="A168" s="18" t="str">
        <f t="shared" si="29"/>
        <v>Серендия</v>
      </c>
      <c r="B168" s="18" t="str">
        <f>'УзлыРесы(1)'!L34</f>
        <v>Северные болота</v>
      </c>
      <c r="C168" s="14" t="s">
        <v>791</v>
      </c>
    </row>
    <row r="169" ht="12.75" customHeight="1">
      <c r="A169" s="18" t="str">
        <f t="shared" si="29"/>
        <v>Серендия</v>
      </c>
      <c r="B169" s="34" t="str">
        <f t="shared" ref="B169:B170" si="34">B168</f>
        <v>Северные болота</v>
      </c>
      <c r="C169" s="14" t="s">
        <v>792</v>
      </c>
    </row>
    <row r="170" ht="12.75" customHeight="1">
      <c r="A170" s="18" t="str">
        <f t="shared" si="29"/>
        <v>Серендия</v>
      </c>
      <c r="B170" s="34" t="str">
        <f t="shared" si="34"/>
        <v>Северные болота</v>
      </c>
      <c r="C170" s="14" t="s">
        <v>793</v>
      </c>
    </row>
    <row r="171" ht="12.75" customHeight="1">
      <c r="A171" s="18" t="str">
        <f t="shared" si="29"/>
        <v>Серендия</v>
      </c>
      <c r="B171" s="18" t="str">
        <f>'УзлыРесы(1)'!G14</f>
        <v>Руины замка</v>
      </c>
      <c r="C171" s="14" t="s">
        <v>794</v>
      </c>
    </row>
    <row r="172" ht="12.75" customHeight="1">
      <c r="A172" s="18" t="str">
        <f t="shared" si="29"/>
        <v>Серендия</v>
      </c>
      <c r="B172" s="34" t="str">
        <f>B171</f>
        <v>Руины замка</v>
      </c>
      <c r="C172" s="14" t="s">
        <v>795</v>
      </c>
    </row>
    <row r="173" ht="12.75" customHeight="1">
      <c r="A173" s="18" t="str">
        <f t="shared" si="29"/>
        <v>Серендия</v>
      </c>
      <c r="B173" s="18" t="str">
        <f>'УзлыРесы(1)'!G16</f>
        <v>Святилище Серендии</v>
      </c>
      <c r="C173" s="14" t="s">
        <v>796</v>
      </c>
    </row>
    <row r="174" ht="12.75" customHeight="1">
      <c r="A174" s="18" t="str">
        <f t="shared" si="29"/>
        <v>Серендия</v>
      </c>
      <c r="B174" s="34" t="str">
        <f>B173</f>
        <v>Святилище Серендии</v>
      </c>
      <c r="C174" s="14" t="s">
        <v>744</v>
      </c>
    </row>
    <row r="175" ht="12.75" customHeight="1">
      <c r="A175" s="18" t="str">
        <f t="shared" si="29"/>
        <v>Серендия</v>
      </c>
      <c r="B175" s="18" t="str">
        <f>'УзлыРесы(1)'!L28</f>
        <v>Шахта Хиделя</v>
      </c>
      <c r="C175" s="14" t="s">
        <v>734</v>
      </c>
    </row>
    <row r="176" ht="12.75" customHeight="1">
      <c r="A176" s="18" t="str">
        <f t="shared" si="29"/>
        <v>Серендия</v>
      </c>
      <c r="B176" s="34" t="str">
        <f t="shared" ref="B176:B178" si="35">B175</f>
        <v>Шахта Хиделя</v>
      </c>
      <c r="C176" s="14" t="s">
        <v>755</v>
      </c>
    </row>
    <row r="177" ht="12.75" customHeight="1">
      <c r="A177" s="18" t="str">
        <f t="shared" si="29"/>
        <v>Серендия</v>
      </c>
      <c r="B177" s="34" t="str">
        <f t="shared" si="35"/>
        <v>Шахта Хиделя</v>
      </c>
      <c r="C177" s="14" t="s">
        <v>145</v>
      </c>
    </row>
    <row r="178" ht="12.75" customHeight="1">
      <c r="A178" s="18" t="str">
        <f t="shared" si="29"/>
        <v>Серендия</v>
      </c>
      <c r="B178" s="34" t="str">
        <f t="shared" si="35"/>
        <v>Шахта Хиделя</v>
      </c>
      <c r="C178" s="14" t="s">
        <v>745</v>
      </c>
    </row>
    <row r="179" ht="12.75" customHeight="1">
      <c r="A179" s="18" t="str">
        <f t="shared" si="29"/>
        <v>Серендия</v>
      </c>
      <c r="B179" s="18" t="str">
        <f>'УзлыРесы(1)'!L30</f>
        <v>Северная равнина Серендии</v>
      </c>
      <c r="C179" s="14" t="s">
        <v>797</v>
      </c>
    </row>
    <row r="180" ht="12.75" customHeight="1">
      <c r="A180" s="18" t="str">
        <f t="shared" si="29"/>
        <v>Серендия</v>
      </c>
      <c r="B180" s="34" t="str">
        <f t="shared" ref="B180:B181" si="36">B179</f>
        <v>Северная равнина Серендии</v>
      </c>
      <c r="C180" s="14" t="s">
        <v>794</v>
      </c>
    </row>
    <row r="181" ht="12.75" customHeight="1">
      <c r="A181" s="18" t="str">
        <f t="shared" si="29"/>
        <v>Серендия</v>
      </c>
      <c r="B181" s="34" t="str">
        <f t="shared" si="36"/>
        <v>Северная равнина Серендии</v>
      </c>
      <c r="C181" s="14" t="s">
        <v>798</v>
      </c>
    </row>
    <row r="182" ht="12.75" customHeight="1">
      <c r="A182" s="18" t="str">
        <f t="shared" si="29"/>
        <v>Серендия</v>
      </c>
      <c r="B182" s="18" t="str">
        <f>'УзлыРесы(1)'!L31</f>
        <v>Болота Глиши</v>
      </c>
      <c r="C182" s="14" t="s">
        <v>799</v>
      </c>
    </row>
    <row r="183" ht="12.75" customHeight="1">
      <c r="A183" s="18" t="str">
        <f t="shared" si="29"/>
        <v>Серендия</v>
      </c>
      <c r="B183" s="34" t="str">
        <f t="shared" ref="B183:B185" si="37">B182</f>
        <v>Болота Глиши</v>
      </c>
      <c r="C183" s="14" t="s">
        <v>800</v>
      </c>
    </row>
    <row r="184" ht="12.75" customHeight="1">
      <c r="A184" s="18" t="str">
        <f t="shared" si="29"/>
        <v>Серендия</v>
      </c>
      <c r="B184" s="34" t="str">
        <f t="shared" si="37"/>
        <v>Болота Глиши</v>
      </c>
      <c r="C184" s="14" t="s">
        <v>801</v>
      </c>
    </row>
    <row r="185" ht="12.75" customHeight="1">
      <c r="A185" s="18" t="str">
        <f t="shared" si="29"/>
        <v>Серендия</v>
      </c>
      <c r="B185" s="34" t="str">
        <f t="shared" si="37"/>
        <v>Болота Глиши</v>
      </c>
      <c r="C185" s="14" t="s">
        <v>802</v>
      </c>
    </row>
    <row r="186" ht="12.75" customHeight="1">
      <c r="A186" s="18" t="str">
        <f t="shared" si="29"/>
        <v>Серендия</v>
      </c>
      <c r="B186" s="18" t="str">
        <f>'УзлыРесы(1)'!L32</f>
        <v>Южное болото</v>
      </c>
      <c r="C186" s="14" t="s">
        <v>734</v>
      </c>
    </row>
    <row r="187" ht="12.75" customHeight="1">
      <c r="A187" s="18" t="str">
        <f t="shared" si="29"/>
        <v>Серендия</v>
      </c>
      <c r="B187" s="34" t="str">
        <f t="shared" ref="B187:B190" si="38">B186</f>
        <v>Южное болото</v>
      </c>
      <c r="C187" s="14" t="s">
        <v>803</v>
      </c>
    </row>
    <row r="188" ht="12.75" customHeight="1">
      <c r="A188" s="18" t="str">
        <f t="shared" si="29"/>
        <v>Серендия</v>
      </c>
      <c r="B188" s="34" t="str">
        <f t="shared" si="38"/>
        <v>Южное болото</v>
      </c>
      <c r="C188" s="14" t="s">
        <v>799</v>
      </c>
    </row>
    <row r="189" ht="12.75" customHeight="1">
      <c r="A189" s="18" t="str">
        <f t="shared" si="29"/>
        <v>Серендия</v>
      </c>
      <c r="B189" s="34" t="str">
        <f t="shared" si="38"/>
        <v>Южное болото</v>
      </c>
      <c r="C189" s="14" t="s">
        <v>800</v>
      </c>
    </row>
    <row r="190" ht="12.75" customHeight="1">
      <c r="A190" s="18" t="str">
        <f t="shared" si="29"/>
        <v>Серендия</v>
      </c>
      <c r="B190" s="34" t="str">
        <f t="shared" si="38"/>
        <v>Южное болото</v>
      </c>
      <c r="C190" s="14" t="s">
        <v>804</v>
      </c>
    </row>
    <row r="191" ht="12.75" customHeight="1">
      <c r="A191" s="18" t="str">
        <f t="shared" si="29"/>
        <v>Серендия</v>
      </c>
      <c r="B191" s="18" t="str">
        <f>'УзлыРесы(1)'!L33</f>
        <v>Руины Глиши</v>
      </c>
      <c r="C191" s="14" t="s">
        <v>805</v>
      </c>
    </row>
    <row r="192" ht="12.75" customHeight="1">
      <c r="A192" s="18" t="str">
        <f t="shared" si="29"/>
        <v>Серендия</v>
      </c>
      <c r="B192" s="34" t="str">
        <f t="shared" ref="B192:B195" si="39">B191</f>
        <v>Руины Глиши</v>
      </c>
      <c r="C192" s="14" t="s">
        <v>806</v>
      </c>
    </row>
    <row r="193" ht="12.75" customHeight="1">
      <c r="A193" s="18" t="str">
        <f t="shared" si="29"/>
        <v>Серендия</v>
      </c>
      <c r="B193" s="34" t="str">
        <f t="shared" si="39"/>
        <v>Руины Глиши</v>
      </c>
      <c r="C193" s="14" t="s">
        <v>807</v>
      </c>
    </row>
    <row r="194" ht="12.75" customHeight="1">
      <c r="A194" s="18" t="str">
        <f t="shared" si="29"/>
        <v>Серендия</v>
      </c>
      <c r="B194" s="34" t="str">
        <f t="shared" si="39"/>
        <v>Руины Глиши</v>
      </c>
      <c r="C194" s="14" t="s">
        <v>808</v>
      </c>
    </row>
    <row r="195" ht="12.75" customHeight="1">
      <c r="A195" s="18" t="str">
        <f t="shared" si="29"/>
        <v>Серендия</v>
      </c>
      <c r="B195" s="34" t="str">
        <f t="shared" si="39"/>
        <v>Руины Глиши</v>
      </c>
      <c r="C195" s="14" t="s">
        <v>809</v>
      </c>
    </row>
    <row r="196" ht="12.75" customHeight="1">
      <c r="A196" s="18" t="str">
        <f t="shared" si="29"/>
        <v>Серендия</v>
      </c>
      <c r="B196" s="42" t="str">
        <f>'УзлыРесы(1)'!L35</f>
        <v>Руины фермы Линчей (скрытый)</v>
      </c>
      <c r="C196" s="14" t="s">
        <v>797</v>
      </c>
    </row>
    <row r="197" ht="12.75" customHeight="1">
      <c r="A197" s="18" t="str">
        <f t="shared" si="29"/>
        <v>Серендия</v>
      </c>
      <c r="B197" s="34" t="str">
        <f t="shared" ref="B197:B201" si="40">B196</f>
        <v>Руины фермы Линчей (скрытый)</v>
      </c>
      <c r="C197" s="14" t="s">
        <v>810</v>
      </c>
    </row>
    <row r="198" ht="12.75" customHeight="1">
      <c r="A198" s="18" t="str">
        <f t="shared" si="29"/>
        <v>Серендия</v>
      </c>
      <c r="B198" s="34" t="str">
        <f t="shared" si="40"/>
        <v>Руины фермы Линчей (скрытый)</v>
      </c>
      <c r="C198" s="14" t="s">
        <v>811</v>
      </c>
    </row>
    <row r="199" ht="12.75" customHeight="1">
      <c r="A199" s="18" t="str">
        <f t="shared" si="29"/>
        <v>Серендия</v>
      </c>
      <c r="B199" s="34" t="str">
        <f t="shared" si="40"/>
        <v>Руины фермы Линчей (скрытый)</v>
      </c>
      <c r="C199" s="14" t="s">
        <v>812</v>
      </c>
    </row>
    <row r="200" ht="12.75" customHeight="1">
      <c r="A200" s="18" t="str">
        <f t="shared" si="29"/>
        <v>Серендия</v>
      </c>
      <c r="B200" s="34" t="str">
        <f t="shared" si="40"/>
        <v>Руины фермы Линчей (скрытый)</v>
      </c>
      <c r="C200" s="14" t="s">
        <v>813</v>
      </c>
    </row>
    <row r="201" ht="12.75" customHeight="1">
      <c r="A201" s="33" t="str">
        <f t="shared" si="29"/>
        <v>Серендия</v>
      </c>
      <c r="B201" s="30" t="str">
        <f t="shared" si="40"/>
        <v>Руины фермы Линчей (скрытый)</v>
      </c>
      <c r="C201" s="30" t="s">
        <v>809</v>
      </c>
    </row>
    <row r="202" ht="12.75" customHeight="1">
      <c r="A202" s="15" t="str">
        <f>'УзлыРесы(1)'!C15</f>
        <v>Кальфеон</v>
      </c>
      <c r="B202" s="15" t="str">
        <f>'УзлыРесы(1)'!B15</f>
        <v>Кальфеон</v>
      </c>
      <c r="C202" s="14" t="s">
        <v>720</v>
      </c>
    </row>
    <row r="203" ht="12.75" customHeight="1">
      <c r="A203" s="15" t="str">
        <f t="shared" ref="A203:B203" si="41">A202</f>
        <v>Кальфеон</v>
      </c>
      <c r="B203" s="34" t="str">
        <f t="shared" si="41"/>
        <v>Кальфеон</v>
      </c>
      <c r="C203" s="14" t="s">
        <v>721</v>
      </c>
    </row>
    <row r="204" ht="12.75" customHeight="1">
      <c r="A204" s="15" t="str">
        <f t="shared" ref="A204:A350" si="42">A203</f>
        <v>Кальфеон</v>
      </c>
      <c r="B204" s="15" t="str">
        <f>'УзлыРесы(1)'!B30</f>
        <v>Кеплан</v>
      </c>
      <c r="C204" s="14" t="s">
        <v>720</v>
      </c>
    </row>
    <row r="205" ht="12.75" customHeight="1">
      <c r="A205" s="15" t="str">
        <f t="shared" si="42"/>
        <v>Кальфеон</v>
      </c>
      <c r="B205" s="34" t="str">
        <f>B204</f>
        <v>Кеплан</v>
      </c>
      <c r="C205" s="14" t="s">
        <v>721</v>
      </c>
    </row>
    <row r="206" ht="12.75" customHeight="1">
      <c r="A206" s="15" t="str">
        <f t="shared" si="42"/>
        <v>Кальфеон</v>
      </c>
      <c r="B206" s="15" t="str">
        <f>'УзлыРесы(1)'!B31</f>
        <v>Деревня Флорин</v>
      </c>
      <c r="C206" s="14" t="s">
        <v>720</v>
      </c>
    </row>
    <row r="207" ht="12.75" customHeight="1">
      <c r="A207" s="15" t="str">
        <f t="shared" si="42"/>
        <v>Кальфеон</v>
      </c>
      <c r="B207" s="34" t="str">
        <f t="shared" ref="B207:B208" si="43">B206</f>
        <v>Деревня Флорин</v>
      </c>
      <c r="C207" s="14" t="s">
        <v>721</v>
      </c>
    </row>
    <row r="208" ht="12.75" customHeight="1">
      <c r="A208" s="15" t="str">
        <f t="shared" si="42"/>
        <v>Кальфеон</v>
      </c>
      <c r="B208" s="34" t="str">
        <f t="shared" si="43"/>
        <v>Деревня Флорин</v>
      </c>
      <c r="C208" s="14" t="s">
        <v>814</v>
      </c>
    </row>
    <row r="209" ht="12.75" customHeight="1">
      <c r="A209" s="15" t="str">
        <f t="shared" si="42"/>
        <v>Кальфеон</v>
      </c>
      <c r="B209" s="15" t="str">
        <f>'УзлыРесы(1)'!B32</f>
        <v>Портовый город Эферия</v>
      </c>
      <c r="C209" s="34" t="str">
        <f>'УзлыРесы(1)'!D32</f>
        <v>Ящик морепродуктов (сиган)</v>
      </c>
    </row>
    <row r="210" ht="12.75" customHeight="1">
      <c r="A210" s="15" t="str">
        <f t="shared" si="42"/>
        <v>Кальфеон</v>
      </c>
      <c r="B210" s="15" t="str">
        <f>'УзлыРесы(1)'!B33</f>
        <v>Деревня Трент</v>
      </c>
      <c r="C210" s="34" t="str">
        <f>'УзлыРесы(1)'!D33</f>
        <v>Ящик с древесиной из Кальфеона</v>
      </c>
    </row>
    <row r="211" ht="12.75" customHeight="1">
      <c r="A211" s="15" t="str">
        <f t="shared" si="42"/>
        <v>Кальфеон</v>
      </c>
      <c r="B211" s="15" t="str">
        <f>'УзлыРесы(1)'!B34</f>
        <v>Медвежья деревня</v>
      </c>
      <c r="C211" s="34" t="str">
        <f>'УзлыРесы(1)'!D34</f>
        <v>Ящик с древесиной из Кальфеона</v>
      </c>
    </row>
    <row r="212" ht="12.75" customHeight="1">
      <c r="A212" s="15" t="str">
        <f t="shared" si="42"/>
        <v>Кальфеон</v>
      </c>
      <c r="B212" s="15" t="str">
        <f>'УзлыРесы(1)'!B35</f>
        <v>Северное поле пшеницы</v>
      </c>
      <c r="C212" s="14" t="s">
        <v>720</v>
      </c>
    </row>
    <row r="213" ht="12.75" customHeight="1">
      <c r="A213" s="15" t="str">
        <f t="shared" si="42"/>
        <v>Кальфеон</v>
      </c>
      <c r="B213" s="34" t="str">
        <f t="shared" ref="B213:B217" si="44">B212</f>
        <v>Северное поле пшеницы</v>
      </c>
      <c r="C213" s="14" t="s">
        <v>721</v>
      </c>
    </row>
    <row r="214" ht="12.75" customHeight="1">
      <c r="A214" s="15" t="str">
        <f t="shared" si="42"/>
        <v>Кальфеон</v>
      </c>
      <c r="B214" s="34" t="str">
        <f t="shared" si="44"/>
        <v>Северное поле пшеницы</v>
      </c>
      <c r="C214" s="14" t="s">
        <v>815</v>
      </c>
    </row>
    <row r="215" ht="12.75" customHeight="1">
      <c r="A215" s="15" t="str">
        <f t="shared" si="42"/>
        <v>Кальфеон</v>
      </c>
      <c r="B215" s="34" t="str">
        <f t="shared" si="44"/>
        <v>Северное поле пшеницы</v>
      </c>
      <c r="C215" s="14" t="s">
        <v>784</v>
      </c>
    </row>
    <row r="216" ht="12.75" customHeight="1">
      <c r="A216" s="15" t="str">
        <f t="shared" si="42"/>
        <v>Кальфеон</v>
      </c>
      <c r="B216" s="34" t="str">
        <f t="shared" si="44"/>
        <v>Северное поле пшеницы</v>
      </c>
      <c r="C216" s="14" t="s">
        <v>816</v>
      </c>
    </row>
    <row r="217" ht="12.75" customHeight="1">
      <c r="A217" s="15" t="str">
        <f t="shared" si="42"/>
        <v>Кальфеон</v>
      </c>
      <c r="B217" s="34" t="str">
        <f t="shared" si="44"/>
        <v>Северное поле пшеницы</v>
      </c>
      <c r="C217" s="14" t="s">
        <v>451</v>
      </c>
    </row>
    <row r="218" ht="12.75" customHeight="1">
      <c r="A218" s="15" t="str">
        <f t="shared" si="42"/>
        <v>Кальфеон</v>
      </c>
      <c r="B218" s="15" t="str">
        <f>'УзлыРесы(1)'!L41</f>
        <v>Ферма Диас</v>
      </c>
      <c r="C218" s="34" t="str">
        <f>'УзлыРесы(1)'!N41</f>
        <v>Ящик с отборными помидорами</v>
      </c>
    </row>
    <row r="219" ht="12.75" customHeight="1">
      <c r="A219" s="15" t="str">
        <f t="shared" si="42"/>
        <v>Кальфеон</v>
      </c>
      <c r="B219" s="44" t="str">
        <f>'УзлыРесы(1)'!L44</f>
        <v>Ферма Бернито (скрытый)</v>
      </c>
      <c r="C219" s="14" t="s">
        <v>817</v>
      </c>
    </row>
    <row r="220" ht="12.75" customHeight="1">
      <c r="A220" s="15" t="str">
        <f t="shared" si="42"/>
        <v>Кальфеон</v>
      </c>
      <c r="B220" s="14" t="str">
        <f t="shared" ref="B220:B223" si="45">B219</f>
        <v>Ферма Бернито (скрытый)</v>
      </c>
      <c r="C220" s="14" t="s">
        <v>818</v>
      </c>
    </row>
    <row r="221" ht="12.75" customHeight="1">
      <c r="A221" s="15" t="str">
        <f t="shared" si="42"/>
        <v>Кальфеон</v>
      </c>
      <c r="B221" s="14" t="str">
        <f t="shared" si="45"/>
        <v>Ферма Бернито (скрытый)</v>
      </c>
      <c r="C221" s="14" t="s">
        <v>819</v>
      </c>
    </row>
    <row r="222" ht="12.75" customHeight="1">
      <c r="A222" s="15" t="str">
        <f t="shared" si="42"/>
        <v>Кальфеон</v>
      </c>
      <c r="B222" s="14" t="str">
        <f t="shared" si="45"/>
        <v>Ферма Бернито (скрытый)</v>
      </c>
      <c r="C222" s="14" t="s">
        <v>820</v>
      </c>
    </row>
    <row r="223" ht="12.75" customHeight="1">
      <c r="A223" s="15" t="str">
        <f t="shared" si="42"/>
        <v>Кальфеон</v>
      </c>
      <c r="B223" s="14" t="str">
        <f t="shared" si="45"/>
        <v>Ферма Бернито (скрытый)</v>
      </c>
      <c r="C223" s="14" t="s">
        <v>821</v>
      </c>
    </row>
    <row r="224" ht="12.75" customHeight="1">
      <c r="A224" s="15" t="str">
        <f t="shared" si="42"/>
        <v>Кальфеон</v>
      </c>
      <c r="B224" s="15" t="str">
        <f>'УзлыРесы(1)'!L47</f>
        <v>Ранчо Фаарс</v>
      </c>
      <c r="C224" s="34" t="str">
        <f>'УзлыРесы(1)'!N47</f>
        <v>Кукурузный хлеб</v>
      </c>
    </row>
    <row r="225" ht="12.75" customHeight="1">
      <c r="A225" s="15" t="str">
        <f t="shared" si="42"/>
        <v>Кальфеон</v>
      </c>
      <c r="B225" s="15" t="str">
        <f>'УзлыРесы(1)'!L49</f>
        <v>Угодья Бейн</v>
      </c>
      <c r="C225" s="34" t="str">
        <f>'УзлыРесы(1)'!N49</f>
        <v>Ящик с отборной кукурузой</v>
      </c>
    </row>
    <row r="226" ht="12.75" customHeight="1">
      <c r="A226" s="15" t="str">
        <f t="shared" si="42"/>
        <v>Кальфеон</v>
      </c>
      <c r="B226" s="15" t="str">
        <f>'УзлыРесы(1)'!L55</f>
        <v>Ферма Джанни</v>
      </c>
      <c r="C226" s="34" t="str">
        <f>'УзлыРесы(1)'!N55</f>
        <v>Ящик с отборной черноголовкой</v>
      </c>
    </row>
    <row r="227" ht="12.75" customHeight="1">
      <c r="A227" s="15" t="str">
        <f t="shared" si="42"/>
        <v>Кальфеон</v>
      </c>
      <c r="B227" s="15" t="str">
        <f>'УзлыРесы(1)'!L65</f>
        <v>Ферма Габино</v>
      </c>
      <c r="C227" s="34" t="str">
        <f>'УзлыРесы(1)'!N65</f>
        <v>Ящик с отборным подсолнухом</v>
      </c>
    </row>
    <row r="228" ht="12.75" customHeight="1">
      <c r="A228" s="15" t="str">
        <f t="shared" si="42"/>
        <v>Кальфеон</v>
      </c>
      <c r="B228" s="44" t="str">
        <f>'УзлыРесы(1)'!L66</f>
        <v>Лес Манш (скрытый)</v>
      </c>
      <c r="C228" s="14" t="s">
        <v>822</v>
      </c>
    </row>
    <row r="229" ht="12.75" customHeight="1">
      <c r="A229" s="15" t="str">
        <f t="shared" si="42"/>
        <v>Кальфеон</v>
      </c>
      <c r="B229" s="34" t="str">
        <f t="shared" ref="B229:B234" si="46">B228</f>
        <v>Лес Манш (скрытый)</v>
      </c>
      <c r="C229" s="14" t="s">
        <v>823</v>
      </c>
    </row>
    <row r="230" ht="12.75" customHeight="1">
      <c r="A230" s="15" t="str">
        <f t="shared" si="42"/>
        <v>Кальфеон</v>
      </c>
      <c r="B230" s="34" t="str">
        <f t="shared" si="46"/>
        <v>Лес Манш (скрытый)</v>
      </c>
      <c r="C230" s="14" t="s">
        <v>824</v>
      </c>
    </row>
    <row r="231" ht="12.75" customHeight="1">
      <c r="A231" s="15" t="str">
        <f t="shared" si="42"/>
        <v>Кальфеон</v>
      </c>
      <c r="B231" s="34" t="str">
        <f t="shared" si="46"/>
        <v>Лес Манш (скрытый)</v>
      </c>
      <c r="C231" s="14" t="s">
        <v>825</v>
      </c>
    </row>
    <row r="232" ht="12.75" customHeight="1">
      <c r="A232" s="15" t="str">
        <f t="shared" si="42"/>
        <v>Кальфеон</v>
      </c>
      <c r="B232" s="34" t="str">
        <f t="shared" si="46"/>
        <v>Лес Манш (скрытый)</v>
      </c>
      <c r="C232" s="14" t="s">
        <v>826</v>
      </c>
    </row>
    <row r="233" ht="12.75" customHeight="1">
      <c r="A233" s="15" t="str">
        <f t="shared" si="42"/>
        <v>Кальфеон</v>
      </c>
      <c r="B233" s="34" t="str">
        <f t="shared" si="46"/>
        <v>Лес Манш (скрытый)</v>
      </c>
      <c r="C233" s="14" t="s">
        <v>827</v>
      </c>
    </row>
    <row r="234" ht="12.75" customHeight="1">
      <c r="A234" s="15" t="str">
        <f t="shared" si="42"/>
        <v>Кальфеон</v>
      </c>
      <c r="B234" s="34" t="str">
        <f t="shared" si="46"/>
        <v>Лес Манш (скрытый)</v>
      </c>
      <c r="C234" s="14" t="s">
        <v>828</v>
      </c>
    </row>
    <row r="235" ht="12.75" customHeight="1">
      <c r="A235" s="15" t="str">
        <f t="shared" si="42"/>
        <v>Кальфеон</v>
      </c>
      <c r="B235" s="15" t="str">
        <f>'УзлыРесы(1)'!L70</f>
        <v>Лесной сторожевой пост</v>
      </c>
      <c r="C235" s="14" t="s">
        <v>829</v>
      </c>
    </row>
    <row r="236" ht="12.75" customHeight="1">
      <c r="A236" s="15" t="str">
        <f t="shared" si="42"/>
        <v>Кальфеон</v>
      </c>
      <c r="B236" s="34" t="str">
        <f t="shared" ref="B236:B237" si="47">B235</f>
        <v>Лесной сторожевой пост</v>
      </c>
      <c r="C236" s="14" t="s">
        <v>830</v>
      </c>
    </row>
    <row r="237" ht="12.75" customHeight="1">
      <c r="A237" s="15" t="str">
        <f t="shared" si="42"/>
        <v>Кальфеон</v>
      </c>
      <c r="B237" s="34" t="str">
        <f t="shared" si="47"/>
        <v>Лесной сторожевой пост</v>
      </c>
      <c r="C237" s="14" t="s">
        <v>831</v>
      </c>
    </row>
    <row r="238" ht="12.75" customHeight="1">
      <c r="A238" s="15" t="str">
        <f t="shared" si="42"/>
        <v>Кальфеон</v>
      </c>
      <c r="B238" s="15" t="str">
        <f>'УзлыРесы(1)'!L71</f>
        <v>Хижина Фонеля</v>
      </c>
      <c r="C238" s="14" t="s">
        <v>822</v>
      </c>
    </row>
    <row r="239" ht="12.75" customHeight="1">
      <c r="A239" s="15" t="str">
        <f t="shared" si="42"/>
        <v>Кальфеон</v>
      </c>
      <c r="B239" s="34" t="str">
        <f>B238</f>
        <v>Хижина Фонеля</v>
      </c>
      <c r="C239" s="14" t="s">
        <v>823</v>
      </c>
    </row>
    <row r="240" ht="12.75" customHeight="1">
      <c r="A240" s="15" t="str">
        <f t="shared" si="42"/>
        <v>Кальфеон</v>
      </c>
      <c r="B240" s="15" t="str">
        <f>'УзлыРесы(1)'!L105</f>
        <v>Остров Альбрессо</v>
      </c>
      <c r="C240" s="14" t="s">
        <v>832</v>
      </c>
    </row>
    <row r="241" ht="12.75" customHeight="1">
      <c r="A241" s="15" t="str">
        <f t="shared" si="42"/>
        <v>Кальфеон</v>
      </c>
      <c r="B241" s="34" t="str">
        <f t="shared" ref="B241:B243" si="48">B240</f>
        <v>Остров Альбрессо</v>
      </c>
      <c r="C241" s="14" t="s">
        <v>833</v>
      </c>
    </row>
    <row r="242" ht="12.75" customHeight="1">
      <c r="A242" s="15" t="str">
        <f t="shared" si="42"/>
        <v>Кальфеон</v>
      </c>
      <c r="B242" s="34" t="str">
        <f t="shared" si="48"/>
        <v>Остров Альбрессо</v>
      </c>
      <c r="C242" s="14" t="s">
        <v>834</v>
      </c>
    </row>
    <row r="243" ht="12.75" customHeight="1">
      <c r="A243" s="15" t="str">
        <f t="shared" si="42"/>
        <v>Кальфеон</v>
      </c>
      <c r="B243" s="34" t="str">
        <f t="shared" si="48"/>
        <v>Остров Альбрессо</v>
      </c>
      <c r="C243" s="14" t="s">
        <v>835</v>
      </c>
    </row>
    <row r="244" ht="12.75" customHeight="1">
      <c r="A244" s="15" t="str">
        <f t="shared" si="42"/>
        <v>Кальфеон</v>
      </c>
      <c r="B244" s="15" t="str">
        <f>'УзлыРесы(1)'!Q4</f>
        <v>Остров Дэйтан</v>
      </c>
      <c r="C244" s="14" t="s">
        <v>768</v>
      </c>
    </row>
    <row r="245" ht="12.75" customHeight="1">
      <c r="A245" s="15" t="str">
        <f t="shared" si="42"/>
        <v>Кальфеон</v>
      </c>
      <c r="B245" s="34" t="str">
        <f t="shared" ref="B245:B248" si="49">B244</f>
        <v>Остров Дэйтан</v>
      </c>
      <c r="C245" s="14" t="s">
        <v>836</v>
      </c>
    </row>
    <row r="246" ht="12.75" customHeight="1">
      <c r="A246" s="15" t="str">
        <f t="shared" si="42"/>
        <v>Кальфеон</v>
      </c>
      <c r="B246" s="34" t="str">
        <f t="shared" si="49"/>
        <v>Остров Дэйтан</v>
      </c>
      <c r="C246" s="14" t="s">
        <v>837</v>
      </c>
    </row>
    <row r="247" ht="12.75" customHeight="1">
      <c r="A247" s="15" t="str">
        <f t="shared" si="42"/>
        <v>Кальфеон</v>
      </c>
      <c r="B247" s="34" t="str">
        <f t="shared" si="49"/>
        <v>Остров Дэйтан</v>
      </c>
      <c r="C247" s="14" t="s">
        <v>838</v>
      </c>
    </row>
    <row r="248" ht="12.75" customHeight="1">
      <c r="A248" s="15" t="str">
        <f t="shared" si="42"/>
        <v>Кальфеон</v>
      </c>
      <c r="B248" s="34" t="str">
        <f t="shared" si="49"/>
        <v>Остров Дэйтан</v>
      </c>
      <c r="C248" s="14" t="s">
        <v>46</v>
      </c>
    </row>
    <row r="249" ht="12.75" customHeight="1">
      <c r="A249" s="15" t="str">
        <f t="shared" si="42"/>
        <v>Кальфеон</v>
      </c>
      <c r="B249" s="15" t="str">
        <f>'УзлыРесы(1)'!Q7</f>
        <v>Остров Рандис</v>
      </c>
      <c r="C249" s="14" t="s">
        <v>768</v>
      </c>
    </row>
    <row r="250" ht="12.75" customHeight="1">
      <c r="A250" s="15" t="str">
        <f t="shared" si="42"/>
        <v>Кальфеон</v>
      </c>
      <c r="B250" s="14" t="str">
        <f t="shared" ref="B250:B257" si="50">B249</f>
        <v>Остров Рандис</v>
      </c>
      <c r="C250" s="14" t="s">
        <v>837</v>
      </c>
    </row>
    <row r="251" ht="12.75" customHeight="1">
      <c r="A251" s="15" t="str">
        <f t="shared" si="42"/>
        <v>Кальфеон</v>
      </c>
      <c r="B251" s="14" t="str">
        <f t="shared" si="50"/>
        <v>Остров Рандис</v>
      </c>
      <c r="C251" s="14" t="s">
        <v>766</v>
      </c>
    </row>
    <row r="252" ht="12.75" customHeight="1">
      <c r="A252" s="15" t="str">
        <f t="shared" si="42"/>
        <v>Кальфеон</v>
      </c>
      <c r="B252" s="14" t="str">
        <f t="shared" si="50"/>
        <v>Остров Рандис</v>
      </c>
      <c r="C252" s="14" t="s">
        <v>839</v>
      </c>
    </row>
    <row r="253" ht="12.75" customHeight="1">
      <c r="A253" s="15" t="str">
        <f t="shared" si="42"/>
        <v>Кальфеон</v>
      </c>
      <c r="B253" s="14" t="str">
        <f t="shared" si="50"/>
        <v>Остров Рандис</v>
      </c>
      <c r="C253" s="14" t="s">
        <v>775</v>
      </c>
    </row>
    <row r="254" ht="12.75" customHeight="1">
      <c r="A254" s="15" t="str">
        <f t="shared" si="42"/>
        <v>Кальфеон</v>
      </c>
      <c r="B254" s="14" t="str">
        <f t="shared" si="50"/>
        <v>Остров Рандис</v>
      </c>
      <c r="C254" s="14" t="s">
        <v>837</v>
      </c>
    </row>
    <row r="255" ht="12.75" customHeight="1">
      <c r="A255" s="15" t="str">
        <f t="shared" si="42"/>
        <v>Кальфеон</v>
      </c>
      <c r="B255" s="14" t="str">
        <f t="shared" si="50"/>
        <v>Остров Рандис</v>
      </c>
      <c r="C255" s="14" t="s">
        <v>834</v>
      </c>
    </row>
    <row r="256" ht="12.75" customHeight="1">
      <c r="A256" s="15" t="str">
        <f t="shared" si="42"/>
        <v>Кальфеон</v>
      </c>
      <c r="B256" s="14" t="str">
        <f t="shared" si="50"/>
        <v>Остров Рандис</v>
      </c>
      <c r="C256" s="14" t="s">
        <v>840</v>
      </c>
    </row>
    <row r="257" ht="12.75" customHeight="1">
      <c r="A257" s="15" t="str">
        <f t="shared" si="42"/>
        <v>Кальфеон</v>
      </c>
      <c r="B257" s="14" t="str">
        <f t="shared" si="50"/>
        <v>Остров Рандис</v>
      </c>
      <c r="C257" s="14" t="s">
        <v>46</v>
      </c>
    </row>
    <row r="258" ht="12.75" customHeight="1">
      <c r="A258" s="15" t="str">
        <f t="shared" si="42"/>
        <v>Кальфеон</v>
      </c>
      <c r="B258" s="15" t="str">
        <f>'УзлыРесы(1)'!B64</f>
        <v>Замок рыцарей Дельпе</v>
      </c>
      <c r="C258" s="34" t="str">
        <f>'УзлыРесы(1)'!D64</f>
        <v>Талисман любви из красного хрусталя</v>
      </c>
    </row>
    <row r="259" ht="12.75" customHeight="1">
      <c r="A259" s="15" t="str">
        <f t="shared" si="42"/>
        <v>Кальфеон</v>
      </c>
      <c r="B259" s="15" t="str">
        <f>'УзлыРесы(1)'!G20</f>
        <v>Западный лес Бри</v>
      </c>
      <c r="C259" s="14" t="s">
        <v>841</v>
      </c>
    </row>
    <row r="260" ht="12.75" customHeight="1">
      <c r="A260" s="15" t="str">
        <f t="shared" si="42"/>
        <v>Кальфеон</v>
      </c>
      <c r="B260" s="34" t="str">
        <f t="shared" ref="B260:B262" si="51">B259</f>
        <v>Западный лес Бри</v>
      </c>
      <c r="C260" s="14" t="s">
        <v>842</v>
      </c>
    </row>
    <row r="261" ht="12.75" customHeight="1">
      <c r="A261" s="15" t="str">
        <f t="shared" si="42"/>
        <v>Кальфеон</v>
      </c>
      <c r="B261" s="34" t="str">
        <f t="shared" si="51"/>
        <v>Западный лес Бри</v>
      </c>
      <c r="C261" s="14" t="s">
        <v>843</v>
      </c>
    </row>
    <row r="262" ht="12.75" customHeight="1">
      <c r="A262" s="15" t="str">
        <f t="shared" si="42"/>
        <v>Кальфеон</v>
      </c>
      <c r="B262" s="34" t="str">
        <f t="shared" si="51"/>
        <v>Западный лес Бри</v>
      </c>
      <c r="C262" s="14" t="s">
        <v>844</v>
      </c>
    </row>
    <row r="263" ht="12.75" customHeight="1">
      <c r="A263" s="15" t="str">
        <f t="shared" si="42"/>
        <v>Кальфеон</v>
      </c>
      <c r="B263" s="15" t="str">
        <f>'УзлыРесы(1)'!G22</f>
        <v>Хребет Каранды</v>
      </c>
      <c r="C263" s="14" t="s">
        <v>829</v>
      </c>
    </row>
    <row r="264" ht="12.75" customHeight="1">
      <c r="A264" s="15" t="str">
        <f t="shared" si="42"/>
        <v>Кальфеон</v>
      </c>
      <c r="B264" s="34" t="str">
        <f>B263</f>
        <v>Хребет Каранды</v>
      </c>
      <c r="C264" s="14" t="s">
        <v>830</v>
      </c>
    </row>
    <row r="265" ht="12.75" customHeight="1">
      <c r="A265" s="15" t="str">
        <f t="shared" si="42"/>
        <v>Кальфеон</v>
      </c>
      <c r="B265" s="15" t="str">
        <f>'УзлыРесы(1)'!G23</f>
        <v>Хребет дьявола</v>
      </c>
      <c r="C265" s="14" t="s">
        <v>841</v>
      </c>
    </row>
    <row r="266" ht="12.75" customHeight="1">
      <c r="A266" s="15" t="str">
        <f t="shared" si="42"/>
        <v>Кальфеон</v>
      </c>
      <c r="B266" s="34" t="str">
        <f>B265</f>
        <v>Хребет дьявола</v>
      </c>
      <c r="C266" s="14" t="s">
        <v>798</v>
      </c>
    </row>
    <row r="267" ht="12.75" customHeight="1">
      <c r="A267" s="15" t="str">
        <f t="shared" si="42"/>
        <v>Кальфеон</v>
      </c>
      <c r="B267" s="15" t="str">
        <f>'УзлыРесы(1)'!G25</f>
        <v>Перевал Эви</v>
      </c>
      <c r="C267" s="14" t="s">
        <v>845</v>
      </c>
    </row>
    <row r="268" ht="12.75" customHeight="1">
      <c r="A268" s="15" t="str">
        <f t="shared" si="42"/>
        <v>Кальфеон</v>
      </c>
      <c r="B268" s="34" t="str">
        <f>B267</f>
        <v>Перевал Эви</v>
      </c>
      <c r="C268" s="14" t="s">
        <v>744</v>
      </c>
    </row>
    <row r="269" ht="12.75" customHeight="1">
      <c r="A269" s="15" t="str">
        <f t="shared" si="42"/>
        <v>Кальфеон</v>
      </c>
      <c r="B269" s="15" t="str">
        <f>'УзлыРесы(1)'!G27</f>
        <v>Первый лагерь гигантов</v>
      </c>
      <c r="C269" s="14" t="s">
        <v>801</v>
      </c>
    </row>
    <row r="270" ht="12.75" customHeight="1">
      <c r="A270" s="15" t="str">
        <f t="shared" si="42"/>
        <v>Кальфеон</v>
      </c>
      <c r="B270" s="34" t="str">
        <f>B269</f>
        <v>Первый лагерь гигантов</v>
      </c>
      <c r="C270" s="14" t="s">
        <v>846</v>
      </c>
    </row>
    <row r="271" ht="12.75" customHeight="1">
      <c r="A271" s="15" t="str">
        <f t="shared" si="42"/>
        <v>Кальфеон</v>
      </c>
      <c r="B271" s="15" t="str">
        <f>'УзлыРесы(1)'!G31</f>
        <v>Пещера глутонов</v>
      </c>
      <c r="C271" s="14" t="s">
        <v>847</v>
      </c>
    </row>
    <row r="272" ht="12.75" customHeight="1">
      <c r="A272" s="15" t="str">
        <f t="shared" si="42"/>
        <v>Кальфеон</v>
      </c>
      <c r="B272" s="34" t="str">
        <f t="shared" ref="B272:B274" si="52">B271</f>
        <v>Пещера глутонов</v>
      </c>
      <c r="C272" s="14" t="s">
        <v>846</v>
      </c>
    </row>
    <row r="273" ht="12.75" customHeight="1">
      <c r="A273" s="15" t="str">
        <f t="shared" si="42"/>
        <v>Кальфеон</v>
      </c>
      <c r="B273" s="34" t="str">
        <f t="shared" si="52"/>
        <v>Пещера глутонов</v>
      </c>
      <c r="C273" s="14" t="s">
        <v>848</v>
      </c>
    </row>
    <row r="274" ht="12.75" customHeight="1">
      <c r="A274" s="15" t="str">
        <f t="shared" si="42"/>
        <v>Кальфеон</v>
      </c>
      <c r="B274" s="34" t="str">
        <f t="shared" si="52"/>
        <v>Пещера глутонов</v>
      </c>
      <c r="C274" s="14" t="s">
        <v>849</v>
      </c>
    </row>
    <row r="275" ht="12.75" customHeight="1">
      <c r="A275" s="15" t="str">
        <f t="shared" si="42"/>
        <v>Кальфеон</v>
      </c>
      <c r="B275" s="15" t="str">
        <f>'УзлыРесы(1)'!G33</f>
        <v>Лес Энтов</v>
      </c>
      <c r="C275" s="14" t="s">
        <v>822</v>
      </c>
    </row>
    <row r="276" ht="12.75" customHeight="1">
      <c r="A276" s="15" t="str">
        <f t="shared" si="42"/>
        <v>Кальфеон</v>
      </c>
      <c r="B276" s="34" t="str">
        <f>B275</f>
        <v>Лес Энтов</v>
      </c>
      <c r="C276" s="14" t="s">
        <v>850</v>
      </c>
    </row>
    <row r="277" ht="12.75" customHeight="1">
      <c r="A277" s="15" t="str">
        <f t="shared" si="42"/>
        <v>Кальфеон</v>
      </c>
      <c r="B277" s="15" t="str">
        <f>'УзлыРесы(1)'!G34</f>
        <v>Лагерь Ратамов</v>
      </c>
      <c r="C277" s="14" t="s">
        <v>851</v>
      </c>
    </row>
    <row r="278" ht="12.75" customHeight="1">
      <c r="A278" s="15" t="str">
        <f t="shared" si="42"/>
        <v>Кальфеон</v>
      </c>
      <c r="B278" s="34" t="str">
        <f>B277</f>
        <v>Лагерь Ратамов</v>
      </c>
      <c r="C278" s="14" t="s">
        <v>852</v>
      </c>
    </row>
    <row r="279" ht="12.75" customHeight="1">
      <c r="A279" s="15" t="str">
        <f t="shared" si="42"/>
        <v>Кальфеон</v>
      </c>
      <c r="B279" s="15" t="str">
        <f>'УзлыРесы(1)'!G37</f>
        <v>Тёмный лес</v>
      </c>
      <c r="C279" s="14" t="s">
        <v>845</v>
      </c>
    </row>
    <row r="280" ht="12.75" customHeight="1">
      <c r="A280" s="15" t="str">
        <f t="shared" si="42"/>
        <v>Кальфеон</v>
      </c>
      <c r="B280" s="34" t="str">
        <f>B279</f>
        <v>Тёмный лес</v>
      </c>
      <c r="C280" s="14" t="s">
        <v>853</v>
      </c>
    </row>
    <row r="281" ht="12.75" customHeight="1">
      <c r="A281" s="15" t="str">
        <f t="shared" si="42"/>
        <v>Кальфеон</v>
      </c>
      <c r="B281" s="15" t="str">
        <f>'УзлыРесы(1)'!G78</f>
        <v>Звездная гробница</v>
      </c>
      <c r="C281" s="14" t="s">
        <v>854</v>
      </c>
    </row>
    <row r="282" ht="12.75" customHeight="1">
      <c r="A282" s="15" t="str">
        <f t="shared" si="42"/>
        <v>Кальфеон</v>
      </c>
      <c r="B282" s="34" t="str">
        <f t="shared" ref="B282:B286" si="53">B281</f>
        <v>Звездная гробница</v>
      </c>
      <c r="C282" s="14" t="s">
        <v>828</v>
      </c>
    </row>
    <row r="283" ht="12.75" customHeight="1">
      <c r="A283" s="15" t="str">
        <f t="shared" si="42"/>
        <v>Кальфеон</v>
      </c>
      <c r="B283" s="34" t="str">
        <f t="shared" si="53"/>
        <v>Звездная гробница</v>
      </c>
      <c r="C283" s="14" t="s">
        <v>855</v>
      </c>
    </row>
    <row r="284" ht="12.75" customHeight="1">
      <c r="A284" s="15" t="str">
        <f t="shared" si="42"/>
        <v>Кальфеон</v>
      </c>
      <c r="B284" s="34" t="str">
        <f t="shared" si="53"/>
        <v>Звездная гробница</v>
      </c>
      <c r="C284" s="14" t="s">
        <v>145</v>
      </c>
    </row>
    <row r="285" ht="12.75" customHeight="1">
      <c r="A285" s="15" t="str">
        <f t="shared" si="42"/>
        <v>Кальфеон</v>
      </c>
      <c r="B285" s="34" t="str">
        <f t="shared" si="53"/>
        <v>Звездная гробница</v>
      </c>
      <c r="C285" s="14" t="s">
        <v>856</v>
      </c>
    </row>
    <row r="286" ht="12.75" customHeight="1">
      <c r="A286" s="15" t="str">
        <f t="shared" si="42"/>
        <v>Кальфеон</v>
      </c>
      <c r="B286" s="34" t="str">
        <f t="shared" si="53"/>
        <v>Звездная гробница</v>
      </c>
      <c r="C286" s="14" t="s">
        <v>857</v>
      </c>
    </row>
    <row r="287" ht="12.75" customHeight="1">
      <c r="A287" s="15" t="str">
        <f t="shared" si="42"/>
        <v>Кальфеон</v>
      </c>
      <c r="B287" s="15" t="str">
        <f>'УзлыРесы(1)'!L39</f>
        <v>Холм Квинт</v>
      </c>
      <c r="C287" s="14" t="s">
        <v>841</v>
      </c>
    </row>
    <row r="288" ht="12.75" customHeight="1">
      <c r="A288" s="15" t="str">
        <f t="shared" si="42"/>
        <v>Кальфеон</v>
      </c>
      <c r="B288" s="34" t="str">
        <f t="shared" ref="B288:B290" si="54">B287</f>
        <v>Холм Квинт</v>
      </c>
      <c r="C288" s="14" t="s">
        <v>798</v>
      </c>
    </row>
    <row r="289" ht="12.75" customHeight="1">
      <c r="A289" s="15" t="str">
        <f t="shared" si="42"/>
        <v>Кальфеон</v>
      </c>
      <c r="B289" s="34" t="str">
        <f t="shared" si="54"/>
        <v>Холм Квинт</v>
      </c>
      <c r="C289" s="14" t="s">
        <v>801</v>
      </c>
    </row>
    <row r="290" ht="12.75" customHeight="1">
      <c r="A290" s="15" t="str">
        <f t="shared" si="42"/>
        <v>Кальфеон</v>
      </c>
      <c r="B290" s="34" t="str">
        <f t="shared" si="54"/>
        <v>Холм Квинт</v>
      </c>
      <c r="C290" s="14" t="s">
        <v>802</v>
      </c>
    </row>
    <row r="291" ht="12.75" customHeight="1">
      <c r="A291" s="15" t="str">
        <f t="shared" si="42"/>
        <v>Кальфеон</v>
      </c>
      <c r="B291" s="15" t="str">
        <f>'УзлыРесы(1)'!L42</f>
        <v>Долина Эферии</v>
      </c>
      <c r="C291" s="14" t="s">
        <v>858</v>
      </c>
    </row>
    <row r="292" ht="12.75" customHeight="1">
      <c r="A292" s="15" t="str">
        <f t="shared" si="42"/>
        <v>Кальфеон</v>
      </c>
      <c r="B292" s="34" t="str">
        <f>B291</f>
        <v>Долина Эферии</v>
      </c>
      <c r="C292" s="14" t="s">
        <v>859</v>
      </c>
    </row>
    <row r="293" ht="12.75" customHeight="1">
      <c r="A293" s="15" t="str">
        <f t="shared" si="42"/>
        <v>Кальфеон</v>
      </c>
      <c r="B293" s="15" t="str">
        <f>'УзлыРесы(1)'!L48</f>
        <v>Рубеж мертвых</v>
      </c>
      <c r="C293" s="14" t="s">
        <v>734</v>
      </c>
    </row>
    <row r="294" ht="12.75" customHeight="1">
      <c r="A294" s="15" t="str">
        <f t="shared" si="42"/>
        <v>Кальфеон</v>
      </c>
      <c r="B294" s="34" t="str">
        <f>B293</f>
        <v>Рубеж мертвых</v>
      </c>
      <c r="C294" s="14" t="s">
        <v>755</v>
      </c>
    </row>
    <row r="295" ht="12.75" customHeight="1">
      <c r="A295" s="15" t="str">
        <f t="shared" si="42"/>
        <v>Кальфеон</v>
      </c>
      <c r="B295" s="15" t="str">
        <f>'УзлыРесы(1)'!L57</f>
        <v>Шахта Кеплана</v>
      </c>
      <c r="C295" s="14" t="s">
        <v>847</v>
      </c>
    </row>
    <row r="296" ht="12.75" customHeight="1">
      <c r="A296" s="15" t="str">
        <f t="shared" si="42"/>
        <v>Кальфеон</v>
      </c>
      <c r="B296" s="34" t="str">
        <f>B295</f>
        <v>Шахта Кеплана</v>
      </c>
      <c r="C296" s="14" t="s">
        <v>846</v>
      </c>
    </row>
    <row r="297" ht="12.75" customHeight="1">
      <c r="A297" s="15" t="str">
        <f t="shared" si="42"/>
        <v>Кальфеон</v>
      </c>
      <c r="B297" s="44" t="str">
        <f>'УзлыРесы(1)'!L61</f>
        <v>Истоки медвежьей реки (скрытый)</v>
      </c>
      <c r="C297" s="14" t="s">
        <v>851</v>
      </c>
    </row>
    <row r="298" ht="12.75" customHeight="1">
      <c r="A298" s="15" t="str">
        <f t="shared" si="42"/>
        <v>Кальфеон</v>
      </c>
      <c r="B298" s="34" t="str">
        <f>B297</f>
        <v>Истоки медвежьей реки (скрытый)</v>
      </c>
      <c r="C298" s="14" t="s">
        <v>860</v>
      </c>
    </row>
    <row r="299" ht="12.75" customHeight="1">
      <c r="A299" s="15" t="str">
        <f t="shared" si="42"/>
        <v>Кальфеон</v>
      </c>
      <c r="B299" s="44" t="str">
        <f>'УзлыРесы(1)'!L64</f>
        <v>Древо Руя (скрытый)</v>
      </c>
      <c r="C299" s="14" t="s">
        <v>848</v>
      </c>
    </row>
    <row r="300" ht="12.75" customHeight="1">
      <c r="A300" s="15" t="str">
        <f t="shared" si="42"/>
        <v>Кальфеон</v>
      </c>
      <c r="B300" s="34" t="str">
        <f t="shared" ref="B300:B305" si="55">B299</f>
        <v>Древо Руя (скрытый)</v>
      </c>
      <c r="C300" s="14" t="s">
        <v>861</v>
      </c>
    </row>
    <row r="301" ht="12.75" customHeight="1">
      <c r="A301" s="15" t="str">
        <f t="shared" si="42"/>
        <v>Кальфеон</v>
      </c>
      <c r="B301" s="34" t="str">
        <f t="shared" si="55"/>
        <v>Древо Руя (скрытый)</v>
      </c>
      <c r="C301" s="14" t="s">
        <v>862</v>
      </c>
    </row>
    <row r="302" ht="12.75" customHeight="1">
      <c r="A302" s="15" t="str">
        <f t="shared" si="42"/>
        <v>Кальфеон</v>
      </c>
      <c r="B302" s="34" t="str">
        <f t="shared" si="55"/>
        <v>Древо Руя (скрытый)</v>
      </c>
      <c r="C302" s="14" t="s">
        <v>824</v>
      </c>
    </row>
    <row r="303" ht="12.75" customHeight="1">
      <c r="A303" s="15" t="str">
        <f t="shared" si="42"/>
        <v>Кальфеон</v>
      </c>
      <c r="B303" s="34" t="str">
        <f t="shared" si="55"/>
        <v>Древо Руя (скрытый)</v>
      </c>
      <c r="C303" s="14" t="s">
        <v>863</v>
      </c>
    </row>
    <row r="304" ht="12.75" customHeight="1">
      <c r="A304" s="15" t="str">
        <f t="shared" si="42"/>
        <v>Кальфеон</v>
      </c>
      <c r="B304" s="34" t="str">
        <f t="shared" si="55"/>
        <v>Древо Руя (скрытый)</v>
      </c>
      <c r="C304" s="14" t="s">
        <v>827</v>
      </c>
    </row>
    <row r="305" ht="12.75" customHeight="1">
      <c r="A305" s="15" t="str">
        <f t="shared" si="42"/>
        <v>Кальфеон</v>
      </c>
      <c r="B305" s="34" t="str">
        <f t="shared" si="55"/>
        <v>Древо Руя (скрытый)</v>
      </c>
      <c r="C305" s="14" t="s">
        <v>821</v>
      </c>
    </row>
    <row r="306" ht="12.75" customHeight="1">
      <c r="A306" s="15" t="str">
        <f t="shared" si="42"/>
        <v>Кальфеон</v>
      </c>
      <c r="B306" s="15" t="str">
        <f>'УзлыРесы(1)'!L67</f>
        <v>Пещера Мари</v>
      </c>
      <c r="C306" s="14" t="s">
        <v>864</v>
      </c>
    </row>
    <row r="307" ht="12.75" customHeight="1">
      <c r="A307" s="15" t="str">
        <f t="shared" si="42"/>
        <v>Кальфеон</v>
      </c>
      <c r="B307" s="34" t="str">
        <f t="shared" ref="B307:B309" si="56">B306</f>
        <v>Пещера Мари</v>
      </c>
      <c r="C307" s="14" t="s">
        <v>865</v>
      </c>
    </row>
    <row r="308" ht="12.75" customHeight="1">
      <c r="A308" s="15" t="str">
        <f t="shared" si="42"/>
        <v>Кальфеон</v>
      </c>
      <c r="B308" s="34" t="str">
        <f t="shared" si="56"/>
        <v>Пещера Мари</v>
      </c>
      <c r="C308" s="14" t="s">
        <v>866</v>
      </c>
    </row>
    <row r="309" ht="12.75" customHeight="1">
      <c r="A309" s="15" t="str">
        <f t="shared" si="42"/>
        <v>Кальфеон</v>
      </c>
      <c r="B309" s="34" t="str">
        <f t="shared" si="56"/>
        <v>Пещера Мари</v>
      </c>
      <c r="C309" s="14" t="s">
        <v>867</v>
      </c>
    </row>
    <row r="310" ht="12.75" customHeight="1">
      <c r="A310" s="15" t="str">
        <f t="shared" si="42"/>
        <v>Кальфеон</v>
      </c>
      <c r="B310" s="15" t="str">
        <f>'УзлыРесы(1)'!L69</f>
        <v>Хижина дровосека</v>
      </c>
      <c r="C310" s="14" t="s">
        <v>845</v>
      </c>
    </row>
    <row r="311" ht="12.75" customHeight="1">
      <c r="A311" s="15" t="str">
        <f t="shared" si="42"/>
        <v>Кальфеон</v>
      </c>
      <c r="B311" s="34" t="str">
        <f>B310</f>
        <v>Хижина дровосека</v>
      </c>
      <c r="C311" s="14" t="s">
        <v>730</v>
      </c>
    </row>
    <row r="312" ht="12.75" customHeight="1">
      <c r="A312" s="15" t="str">
        <f t="shared" si="42"/>
        <v>Кальфеон</v>
      </c>
      <c r="B312" s="15" t="str">
        <f>'УзлыРесы(1)'!Q3</f>
        <v>Остров Овэн</v>
      </c>
      <c r="C312" s="14" t="s">
        <v>736</v>
      </c>
    </row>
    <row r="313" ht="12.75" customHeight="1">
      <c r="A313" s="15" t="str">
        <f t="shared" si="42"/>
        <v>Кальфеон</v>
      </c>
      <c r="B313" s="14" t="str">
        <f t="shared" ref="B313:B320" si="57">B312</f>
        <v>Остров Овэн</v>
      </c>
      <c r="C313" s="14" t="s">
        <v>832</v>
      </c>
    </row>
    <row r="314" ht="12.75" customHeight="1">
      <c r="A314" s="15" t="str">
        <f t="shared" si="42"/>
        <v>Кальфеон</v>
      </c>
      <c r="B314" s="14" t="str">
        <f t="shared" si="57"/>
        <v>Остров Овэн</v>
      </c>
      <c r="C314" s="14" t="s">
        <v>834</v>
      </c>
    </row>
    <row r="315" ht="12.75" customHeight="1">
      <c r="A315" s="15" t="str">
        <f t="shared" si="42"/>
        <v>Кальфеон</v>
      </c>
      <c r="B315" s="14" t="str">
        <f t="shared" si="57"/>
        <v>Остров Овэн</v>
      </c>
      <c r="C315" s="14" t="s">
        <v>773</v>
      </c>
    </row>
    <row r="316" ht="12.75" customHeight="1">
      <c r="A316" s="15" t="str">
        <f t="shared" si="42"/>
        <v>Кальфеон</v>
      </c>
      <c r="B316" s="14" t="str">
        <f t="shared" si="57"/>
        <v>Остров Овэн</v>
      </c>
      <c r="C316" s="14" t="s">
        <v>768</v>
      </c>
    </row>
    <row r="317" ht="12.75" customHeight="1">
      <c r="A317" s="15" t="str">
        <f t="shared" si="42"/>
        <v>Кальфеон</v>
      </c>
      <c r="B317" s="14" t="str">
        <f t="shared" si="57"/>
        <v>Остров Овэн</v>
      </c>
      <c r="C317" s="14" t="s">
        <v>837</v>
      </c>
    </row>
    <row r="318" ht="12.75" customHeight="1">
      <c r="A318" s="15" t="str">
        <f t="shared" si="42"/>
        <v>Кальфеон</v>
      </c>
      <c r="B318" s="14" t="str">
        <f t="shared" si="57"/>
        <v>Остров Овэн</v>
      </c>
      <c r="C318" s="14" t="s">
        <v>836</v>
      </c>
    </row>
    <row r="319" ht="12.75" customHeight="1">
      <c r="A319" s="15" t="str">
        <f t="shared" si="42"/>
        <v>Кальфеон</v>
      </c>
      <c r="B319" s="14" t="str">
        <f t="shared" si="57"/>
        <v>Остров Овэн</v>
      </c>
      <c r="C319" s="14" t="s">
        <v>773</v>
      </c>
    </row>
    <row r="320" ht="12.75" customHeight="1">
      <c r="A320" s="15" t="str">
        <f t="shared" si="42"/>
        <v>Кальфеон</v>
      </c>
      <c r="B320" s="14" t="str">
        <f t="shared" si="57"/>
        <v>Остров Овэн</v>
      </c>
      <c r="C320" s="14" t="s">
        <v>46</v>
      </c>
    </row>
    <row r="321" ht="12.75" customHeight="1">
      <c r="A321" s="15" t="str">
        <f t="shared" si="42"/>
        <v>Кальфеон</v>
      </c>
      <c r="B321" s="15" t="str">
        <f>'УзлыРесы(1)'!Q5</f>
        <v>Остров Тондэ</v>
      </c>
      <c r="C321" s="34" t="str">
        <f>'УзлыРесы(1)'!S5</f>
        <v>БАРТЕР</v>
      </c>
    </row>
    <row r="322" ht="12.75" customHeight="1">
      <c r="A322" s="15" t="str">
        <f t="shared" si="42"/>
        <v>Кальфеон</v>
      </c>
      <c r="B322" s="15" t="str">
        <f>'УзлыРесы(1)'!Q6</f>
        <v>Остров Варатерра</v>
      </c>
      <c r="C322" s="14" t="s">
        <v>736</v>
      </c>
    </row>
    <row r="323" ht="12.75" customHeight="1">
      <c r="A323" s="15" t="str">
        <f t="shared" si="42"/>
        <v>Кальфеон</v>
      </c>
      <c r="B323" s="14" t="str">
        <f t="shared" ref="B323:B329" si="58">B322</f>
        <v>Остров Варатерра</v>
      </c>
      <c r="C323" s="14" t="s">
        <v>832</v>
      </c>
    </row>
    <row r="324" ht="12.75" customHeight="1">
      <c r="A324" s="15" t="str">
        <f t="shared" si="42"/>
        <v>Кальфеон</v>
      </c>
      <c r="B324" s="14" t="str">
        <f t="shared" si="58"/>
        <v>Остров Варатерра</v>
      </c>
      <c r="C324" s="14" t="s">
        <v>833</v>
      </c>
    </row>
    <row r="325" ht="12.75" customHeight="1">
      <c r="A325" s="15" t="str">
        <f t="shared" si="42"/>
        <v>Кальфеон</v>
      </c>
      <c r="B325" s="14" t="str">
        <f t="shared" si="58"/>
        <v>Остров Варатерра</v>
      </c>
      <c r="C325" s="14" t="s">
        <v>834</v>
      </c>
    </row>
    <row r="326" ht="12.75" customHeight="1">
      <c r="A326" s="15" t="str">
        <f t="shared" si="42"/>
        <v>Кальфеон</v>
      </c>
      <c r="B326" s="14" t="str">
        <f t="shared" si="58"/>
        <v>Остров Варатерра</v>
      </c>
      <c r="C326" s="14" t="s">
        <v>832</v>
      </c>
    </row>
    <row r="327" ht="12.75" customHeight="1">
      <c r="A327" s="15" t="str">
        <f t="shared" si="42"/>
        <v>Кальфеон</v>
      </c>
      <c r="B327" s="14" t="str">
        <f t="shared" si="58"/>
        <v>Остров Варатерра</v>
      </c>
      <c r="C327" s="14" t="s">
        <v>768</v>
      </c>
    </row>
    <row r="328" ht="12.75" customHeight="1">
      <c r="A328" s="15" t="str">
        <f t="shared" si="42"/>
        <v>Кальфеон</v>
      </c>
      <c r="B328" s="14" t="str">
        <f t="shared" si="58"/>
        <v>Остров Варатерра</v>
      </c>
      <c r="C328" s="14" t="s">
        <v>836</v>
      </c>
    </row>
    <row r="329" ht="12.75" customHeight="1">
      <c r="A329" s="15" t="str">
        <f t="shared" si="42"/>
        <v>Кальфеон</v>
      </c>
      <c r="B329" s="14" t="str">
        <f t="shared" si="58"/>
        <v>Остров Варатерра</v>
      </c>
      <c r="C329" s="14" t="s">
        <v>837</v>
      </c>
    </row>
    <row r="330" ht="12.75" customHeight="1">
      <c r="A330" s="15" t="str">
        <f t="shared" si="42"/>
        <v>Кальфеон</v>
      </c>
      <c r="B330" s="15" t="str">
        <f>'УзлыРесы(1)'!Q8</f>
        <v>Остров Серка</v>
      </c>
      <c r="C330" s="14" t="s">
        <v>832</v>
      </c>
    </row>
    <row r="331" ht="12.75" customHeight="1">
      <c r="A331" s="15" t="str">
        <f t="shared" si="42"/>
        <v>Кальфеон</v>
      </c>
      <c r="B331" s="14" t="str">
        <f t="shared" ref="B331:B333" si="59">B330</f>
        <v>Остров Серка</v>
      </c>
      <c r="C331" s="14" t="s">
        <v>775</v>
      </c>
    </row>
    <row r="332" ht="12.75" customHeight="1">
      <c r="A332" s="15" t="str">
        <f t="shared" si="42"/>
        <v>Кальфеон</v>
      </c>
      <c r="B332" s="14" t="str">
        <f t="shared" si="59"/>
        <v>Остров Серка</v>
      </c>
      <c r="C332" s="14" t="s">
        <v>836</v>
      </c>
    </row>
    <row r="333" ht="12.75" customHeight="1">
      <c r="A333" s="15" t="str">
        <f t="shared" si="42"/>
        <v>Кальфеон</v>
      </c>
      <c r="B333" s="14" t="str">
        <f t="shared" si="59"/>
        <v>Остров Серка</v>
      </c>
      <c r="C333" s="14" t="s">
        <v>868</v>
      </c>
    </row>
    <row r="334" ht="12.75" customHeight="1">
      <c r="A334" s="15" t="str">
        <f t="shared" si="42"/>
        <v>Кальфеон</v>
      </c>
      <c r="B334" s="15" t="str">
        <f>'УзлыРесы(1)'!Q9</f>
        <v>Остров Ваэджа</v>
      </c>
      <c r="C334" s="14" t="s">
        <v>832</v>
      </c>
    </row>
    <row r="335" ht="12.75" customHeight="1">
      <c r="A335" s="15" t="str">
        <f t="shared" si="42"/>
        <v>Кальфеон</v>
      </c>
      <c r="B335" s="14" t="str">
        <f t="shared" ref="B335:B337" si="60">B334</f>
        <v>Остров Ваэджа</v>
      </c>
      <c r="C335" s="14" t="s">
        <v>768</v>
      </c>
    </row>
    <row r="336" ht="12.75" customHeight="1">
      <c r="A336" s="15" t="str">
        <f t="shared" si="42"/>
        <v>Кальфеон</v>
      </c>
      <c r="B336" s="14" t="str">
        <f t="shared" si="60"/>
        <v>Остров Ваэджа</v>
      </c>
      <c r="C336" s="14" t="s">
        <v>835</v>
      </c>
    </row>
    <row r="337" ht="12.75" customHeight="1">
      <c r="A337" s="15" t="str">
        <f t="shared" si="42"/>
        <v>Кальфеон</v>
      </c>
      <c r="B337" s="14" t="str">
        <f t="shared" si="60"/>
        <v>Остров Ваэджа</v>
      </c>
      <c r="C337" s="14" t="s">
        <v>767</v>
      </c>
    </row>
    <row r="338" ht="12.75" customHeight="1">
      <c r="A338" s="15" t="str">
        <f t="shared" si="42"/>
        <v>Кальфеон</v>
      </c>
      <c r="B338" s="15" t="str">
        <f>'УзлыРесы(1)'!Q10</f>
        <v>Остров Модрик</v>
      </c>
      <c r="C338" s="14" t="s">
        <v>736</v>
      </c>
    </row>
    <row r="339" ht="12.75" customHeight="1">
      <c r="A339" s="15" t="str">
        <f t="shared" si="42"/>
        <v>Кальфеон</v>
      </c>
      <c r="B339" s="14" t="str">
        <f t="shared" ref="B339:B341" si="61">B338</f>
        <v>Остров Модрик</v>
      </c>
      <c r="C339" s="14" t="s">
        <v>768</v>
      </c>
    </row>
    <row r="340" ht="12.75" customHeight="1">
      <c r="A340" s="15" t="str">
        <f t="shared" si="42"/>
        <v>Кальфеон</v>
      </c>
      <c r="B340" s="14" t="str">
        <f t="shared" si="61"/>
        <v>Остров Модрик</v>
      </c>
      <c r="C340" s="14" t="s">
        <v>837</v>
      </c>
    </row>
    <row r="341" ht="12.75" customHeight="1">
      <c r="A341" s="15" t="str">
        <f t="shared" si="42"/>
        <v>Кальфеон</v>
      </c>
      <c r="B341" s="14" t="str">
        <f t="shared" si="61"/>
        <v>Остров Модрик</v>
      </c>
      <c r="C341" s="14" t="s">
        <v>869</v>
      </c>
    </row>
    <row r="342" ht="12.75" customHeight="1">
      <c r="A342" s="15" t="str">
        <f t="shared" si="42"/>
        <v>Кальфеон</v>
      </c>
      <c r="B342" s="15" t="str">
        <f>'УзлыРесы(1)'!Q12</f>
        <v>Остров Тэямаль</v>
      </c>
      <c r="C342" s="14" t="s">
        <v>768</v>
      </c>
    </row>
    <row r="343" ht="12.75" customHeight="1">
      <c r="A343" s="15" t="str">
        <f t="shared" si="42"/>
        <v>Кальфеон</v>
      </c>
      <c r="B343" s="14" t="str">
        <f t="shared" ref="B343:B349" si="62">B342</f>
        <v>Остров Тэямаль</v>
      </c>
      <c r="C343" s="14" t="s">
        <v>834</v>
      </c>
    </row>
    <row r="344" ht="12.75" customHeight="1">
      <c r="A344" s="15" t="str">
        <f t="shared" si="42"/>
        <v>Кальфеон</v>
      </c>
      <c r="B344" s="14" t="str">
        <f t="shared" si="62"/>
        <v>Остров Тэямаль</v>
      </c>
      <c r="C344" s="14" t="s">
        <v>869</v>
      </c>
    </row>
    <row r="345" ht="12.75" customHeight="1">
      <c r="A345" s="15" t="str">
        <f t="shared" si="42"/>
        <v>Кальфеон</v>
      </c>
      <c r="B345" s="14" t="str">
        <f t="shared" si="62"/>
        <v>Остров Тэямаль</v>
      </c>
      <c r="C345" s="14" t="s">
        <v>835</v>
      </c>
    </row>
    <row r="346" ht="12.75" customHeight="1">
      <c r="A346" s="15" t="str">
        <f t="shared" si="42"/>
        <v>Кальфеон</v>
      </c>
      <c r="B346" s="14" t="str">
        <f t="shared" si="62"/>
        <v>Остров Тэямаль</v>
      </c>
      <c r="C346" s="14" t="s">
        <v>736</v>
      </c>
    </row>
    <row r="347" ht="12.75" customHeight="1">
      <c r="A347" s="15" t="str">
        <f t="shared" si="42"/>
        <v>Кальфеон</v>
      </c>
      <c r="B347" s="14" t="str">
        <f t="shared" si="62"/>
        <v>Остров Тэямаль</v>
      </c>
      <c r="C347" s="14" t="s">
        <v>870</v>
      </c>
    </row>
    <row r="348" ht="12.75" customHeight="1">
      <c r="A348" s="15" t="str">
        <f t="shared" si="42"/>
        <v>Кальфеон</v>
      </c>
      <c r="B348" s="14" t="str">
        <f t="shared" si="62"/>
        <v>Остров Тэямаль</v>
      </c>
      <c r="C348" s="14" t="s">
        <v>768</v>
      </c>
    </row>
    <row r="349" ht="12.75" customHeight="1">
      <c r="A349" s="15" t="str">
        <f t="shared" si="42"/>
        <v>Кальфеон</v>
      </c>
      <c r="B349" s="14" t="str">
        <f t="shared" si="62"/>
        <v>Остров Тэямаль</v>
      </c>
      <c r="C349" s="14" t="s">
        <v>836</v>
      </c>
    </row>
    <row r="350" ht="12.75" customHeight="1">
      <c r="A350" s="29" t="str">
        <f t="shared" si="42"/>
        <v>Кальфеон</v>
      </c>
      <c r="B350" s="29" t="str">
        <f>'УзлыРесы(1)'!Q16</f>
        <v>Остров Кайт</v>
      </c>
      <c r="C350" s="30" t="str">
        <f>'УзлыРесы(1)'!S16</f>
        <v>БАРТЕР</v>
      </c>
    </row>
    <row r="351" ht="12.75" customHeight="1">
      <c r="A351" s="21" t="str">
        <f>'УзлыРесы(1)'!C16</f>
        <v>Медия</v>
      </c>
      <c r="B351" s="21" t="str">
        <f>'УзлыРесы(1)'!B16</f>
        <v>Алтинова</v>
      </c>
      <c r="C351" s="14" t="s">
        <v>720</v>
      </c>
    </row>
    <row r="352" ht="12.75" customHeight="1">
      <c r="A352" s="21" t="str">
        <f t="shared" ref="A352:B352" si="63">A351</f>
        <v>Медия</v>
      </c>
      <c r="B352" s="34" t="str">
        <f t="shared" si="63"/>
        <v>Алтинова</v>
      </c>
      <c r="C352" s="14" t="s">
        <v>721</v>
      </c>
    </row>
    <row r="353" ht="12.75" customHeight="1">
      <c r="A353" s="21" t="str">
        <f t="shared" ref="A353:A440" si="64">A352</f>
        <v>Медия</v>
      </c>
      <c r="B353" s="21" t="str">
        <f>'УзлыРесы(1)'!B38</f>
        <v>Деревня Тариффа</v>
      </c>
      <c r="C353" s="34" t="str">
        <f>'УзлыРесы(1)'!D38</f>
        <v>Кувшин заклинателя Тариф</v>
      </c>
    </row>
    <row r="354" ht="12.75" customHeight="1">
      <c r="A354" s="21" t="str">
        <f t="shared" si="64"/>
        <v>Медия</v>
      </c>
      <c r="B354" s="21" t="str">
        <f>'УзлыРесы(1)'!B39</f>
        <v>Деревня Абун</v>
      </c>
      <c r="C354" s="34" t="str">
        <f>'УзлыРесы(1)'!D39</f>
        <v>Деревянная кукла Абун</v>
      </c>
    </row>
    <row r="355" ht="12.75" customHeight="1">
      <c r="A355" s="21" t="str">
        <f t="shared" si="64"/>
        <v>Медия</v>
      </c>
      <c r="B355" s="21" t="str">
        <f>'УзлыРесы(1)'!B40</f>
        <v>Паучья Деревня</v>
      </c>
      <c r="C355" s="34" t="str">
        <f>'УзлыРесы(1)'!D40</f>
        <v>Сундук с тканями</v>
      </c>
    </row>
    <row r="356" ht="12.75" customHeight="1">
      <c r="A356" s="21" t="str">
        <f t="shared" si="64"/>
        <v>Медия</v>
      </c>
      <c r="B356" s="21" t="str">
        <f>'УзлыРесы(1)'!L74</f>
        <v>Остров Фильвара</v>
      </c>
      <c r="C356" s="14" t="s">
        <v>871</v>
      </c>
    </row>
    <row r="357" ht="12.75" customHeight="1">
      <c r="A357" s="21" t="str">
        <f t="shared" si="64"/>
        <v>Медия</v>
      </c>
      <c r="B357" s="34" t="str">
        <f t="shared" ref="B357:B363" si="65">B356</f>
        <v>Остров Фильвара</v>
      </c>
      <c r="C357" s="14" t="s">
        <v>872</v>
      </c>
    </row>
    <row r="358" ht="12.75" customHeight="1">
      <c r="A358" s="21" t="str">
        <f t="shared" si="64"/>
        <v>Медия</v>
      </c>
      <c r="B358" s="34" t="str">
        <f t="shared" si="65"/>
        <v>Остров Фильвара</v>
      </c>
      <c r="C358" s="14" t="s">
        <v>873</v>
      </c>
    </row>
    <row r="359" ht="12.75" customHeight="1">
      <c r="A359" s="21" t="str">
        <f t="shared" si="64"/>
        <v>Медия</v>
      </c>
      <c r="B359" s="34" t="str">
        <f t="shared" si="65"/>
        <v>Остров Фильвара</v>
      </c>
      <c r="C359" s="14" t="s">
        <v>769</v>
      </c>
    </row>
    <row r="360" ht="12.75" customHeight="1">
      <c r="A360" s="21" t="str">
        <f t="shared" si="64"/>
        <v>Медия</v>
      </c>
      <c r="B360" s="34" t="str">
        <f t="shared" si="65"/>
        <v>Остров Фильвара</v>
      </c>
      <c r="C360" s="14" t="s">
        <v>874</v>
      </c>
    </row>
    <row r="361" ht="12.75" customHeight="1">
      <c r="A361" s="21" t="str">
        <f t="shared" si="64"/>
        <v>Медия</v>
      </c>
      <c r="B361" s="34" t="str">
        <f t="shared" si="65"/>
        <v>Остров Фильвара</v>
      </c>
      <c r="C361" s="14" t="s">
        <v>776</v>
      </c>
    </row>
    <row r="362" ht="12.75" customHeight="1">
      <c r="A362" s="21" t="str">
        <f t="shared" si="64"/>
        <v>Медия</v>
      </c>
      <c r="B362" s="34" t="str">
        <f t="shared" si="65"/>
        <v>Остров Фильвара</v>
      </c>
      <c r="C362" s="14" t="s">
        <v>873</v>
      </c>
    </row>
    <row r="363" ht="12.75" customHeight="1">
      <c r="A363" s="21" t="str">
        <f t="shared" si="64"/>
        <v>Медия</v>
      </c>
      <c r="B363" s="34" t="str">
        <f t="shared" si="65"/>
        <v>Остров Фильвара</v>
      </c>
      <c r="C363" s="14" t="s">
        <v>875</v>
      </c>
    </row>
    <row r="364" ht="12.75" customHeight="1">
      <c r="A364" s="21" t="str">
        <f t="shared" si="64"/>
        <v>Медия</v>
      </c>
      <c r="B364" s="21" t="str">
        <f>'УзлыРесы(1)'!L82</f>
        <v>Остров Бэйрува</v>
      </c>
      <c r="C364" s="14" t="s">
        <v>872</v>
      </c>
    </row>
    <row r="365" ht="12.75" customHeight="1">
      <c r="A365" s="21" t="str">
        <f t="shared" si="64"/>
        <v>Медия</v>
      </c>
      <c r="B365" s="34" t="str">
        <f t="shared" ref="B365:B367" si="66">B364</f>
        <v>Остров Бэйрува</v>
      </c>
      <c r="C365" s="14" t="s">
        <v>736</v>
      </c>
    </row>
    <row r="366" ht="12.75" customHeight="1">
      <c r="A366" s="21" t="str">
        <f t="shared" si="64"/>
        <v>Медия</v>
      </c>
      <c r="B366" s="34" t="str">
        <f t="shared" si="66"/>
        <v>Остров Бэйрува</v>
      </c>
      <c r="C366" s="14" t="s">
        <v>871</v>
      </c>
    </row>
    <row r="367" ht="12.75" customHeight="1">
      <c r="A367" s="21" t="str">
        <f t="shared" si="64"/>
        <v>Медия</v>
      </c>
      <c r="B367" s="34" t="str">
        <f t="shared" si="66"/>
        <v>Остров Бэйрува</v>
      </c>
      <c r="C367" s="14" t="s">
        <v>873</v>
      </c>
    </row>
    <row r="368" ht="12.75" customHeight="1">
      <c r="A368" s="21" t="str">
        <f t="shared" si="64"/>
        <v>Медия</v>
      </c>
      <c r="B368" s="41" t="str">
        <f>'УзлыРесы(1)'!Q34</f>
        <v>Лавовая пещера (скрытый)</v>
      </c>
      <c r="C368" s="14" t="s">
        <v>876</v>
      </c>
    </row>
    <row r="369" ht="12.75" customHeight="1">
      <c r="A369" s="21" t="str">
        <f t="shared" si="64"/>
        <v>Медия</v>
      </c>
      <c r="B369" s="34" t="str">
        <f t="shared" ref="B369:B373" si="67">B368</f>
        <v>Лавовая пещера (скрытый)</v>
      </c>
      <c r="C369" s="14" t="s">
        <v>802</v>
      </c>
    </row>
    <row r="370" ht="12.75" customHeight="1">
      <c r="A370" s="21" t="str">
        <f t="shared" si="64"/>
        <v>Медия</v>
      </c>
      <c r="B370" s="34" t="str">
        <f t="shared" si="67"/>
        <v>Лавовая пещера (скрытый)</v>
      </c>
      <c r="C370" s="14" t="s">
        <v>877</v>
      </c>
    </row>
    <row r="371" ht="12.75" customHeight="1">
      <c r="A371" s="21" t="str">
        <f t="shared" si="64"/>
        <v>Медия</v>
      </c>
      <c r="B371" s="34" t="str">
        <f t="shared" si="67"/>
        <v>Лавовая пещера (скрытый)</v>
      </c>
      <c r="C371" s="14" t="s">
        <v>847</v>
      </c>
    </row>
    <row r="372" ht="12.75" customHeight="1">
      <c r="A372" s="21" t="str">
        <f t="shared" si="64"/>
        <v>Медия</v>
      </c>
      <c r="B372" s="34" t="str">
        <f t="shared" si="67"/>
        <v>Лавовая пещера (скрытый)</v>
      </c>
      <c r="C372" s="14" t="s">
        <v>846</v>
      </c>
    </row>
    <row r="373" ht="12.75" customHeight="1">
      <c r="A373" s="21" t="str">
        <f t="shared" si="64"/>
        <v>Медия</v>
      </c>
      <c r="B373" s="34" t="str">
        <f t="shared" si="67"/>
        <v>Лавовая пещера (скрытый)</v>
      </c>
      <c r="C373" s="14" t="s">
        <v>878</v>
      </c>
    </row>
    <row r="374" ht="12.75" customHeight="1">
      <c r="A374" s="21" t="str">
        <f t="shared" si="64"/>
        <v>Медия</v>
      </c>
      <c r="B374" s="21" t="str">
        <f>'УзлыРесы(1)'!G4</f>
        <v>Пастбище каменной пустоши</v>
      </c>
      <c r="C374" s="34" t="str">
        <f>'УзлыРесы(1)'!I4</f>
        <v>Соломенный портфель Аслана</v>
      </c>
    </row>
    <row r="375" ht="12.75" customHeight="1">
      <c r="A375" s="21" t="str">
        <f t="shared" si="64"/>
        <v>Медия</v>
      </c>
      <c r="B375" s="21" t="str">
        <f>'УзлыРесы(1)'!Q38</f>
        <v>Ферма Сури</v>
      </c>
      <c r="C375" s="14" t="s">
        <v>879</v>
      </c>
    </row>
    <row r="376" ht="12.75" customHeight="1">
      <c r="A376" s="21" t="str">
        <f t="shared" si="64"/>
        <v>Медия</v>
      </c>
      <c r="B376" s="34" t="str">
        <f t="shared" ref="B376:B378" si="68">B375</f>
        <v>Ферма Сури</v>
      </c>
      <c r="C376" s="14" t="s">
        <v>880</v>
      </c>
    </row>
    <row r="377" ht="12.75" customHeight="1">
      <c r="A377" s="21" t="str">
        <f t="shared" si="64"/>
        <v>Медия</v>
      </c>
      <c r="B377" s="34" t="str">
        <f t="shared" si="68"/>
        <v>Ферма Сури</v>
      </c>
      <c r="C377" s="14" t="s">
        <v>881</v>
      </c>
    </row>
    <row r="378" ht="12.75" customHeight="1">
      <c r="A378" s="21" t="str">
        <f t="shared" si="64"/>
        <v>Медия</v>
      </c>
      <c r="B378" s="34" t="str">
        <f t="shared" si="68"/>
        <v>Ферма Сури</v>
      </c>
      <c r="C378" s="14" t="s">
        <v>882</v>
      </c>
    </row>
    <row r="379" ht="12.75" customHeight="1">
      <c r="A379" s="21" t="str">
        <f t="shared" si="64"/>
        <v>Медия</v>
      </c>
      <c r="B379" s="21" t="str">
        <f>'УзлыРесы(1)'!Q39</f>
        <v>Ферма Касулы</v>
      </c>
      <c r="C379" s="14" t="s">
        <v>883</v>
      </c>
    </row>
    <row r="380" ht="12.75" customHeight="1">
      <c r="A380" s="21" t="str">
        <f t="shared" si="64"/>
        <v>Медия</v>
      </c>
      <c r="B380" s="34" t="str">
        <f t="shared" ref="B380:B382" si="69">B379</f>
        <v>Ферма Касулы</v>
      </c>
      <c r="C380" s="14" t="s">
        <v>884</v>
      </c>
    </row>
    <row r="381" ht="12.75" customHeight="1">
      <c r="A381" s="21" t="str">
        <f t="shared" si="64"/>
        <v>Медия</v>
      </c>
      <c r="B381" s="34" t="str">
        <f t="shared" si="69"/>
        <v>Ферма Касулы</v>
      </c>
      <c r="C381" s="14" t="s">
        <v>885</v>
      </c>
    </row>
    <row r="382" ht="12.75" customHeight="1">
      <c r="A382" s="21" t="str">
        <f t="shared" si="64"/>
        <v>Медия</v>
      </c>
      <c r="B382" s="34" t="str">
        <f t="shared" si="69"/>
        <v>Ферма Касулы</v>
      </c>
      <c r="C382" s="14" t="s">
        <v>886</v>
      </c>
    </row>
    <row r="383" ht="12.75" customHeight="1">
      <c r="A383" s="21" t="str">
        <f t="shared" si="64"/>
        <v>Медия</v>
      </c>
      <c r="B383" s="21" t="str">
        <f>'УзлыРесы(1)'!Q43</f>
        <v>Деревня удильщиков</v>
      </c>
      <c r="C383" s="34" t="str">
        <f>'УзлыРесы(1)'!S43</f>
        <v>Набор рыболова</v>
      </c>
    </row>
    <row r="384" ht="12.75" customHeight="1">
      <c r="A384" s="21" t="str">
        <f t="shared" si="64"/>
        <v>Медия</v>
      </c>
      <c r="B384" s="41" t="str">
        <f>'УзлыРесы(1)'!G45</f>
        <v>Закрытая шахта / Заброшенный железный рудник (скрытый)</v>
      </c>
      <c r="C384" s="14" t="s">
        <v>876</v>
      </c>
    </row>
    <row r="385" ht="12.75" customHeight="1">
      <c r="A385" s="21" t="str">
        <f t="shared" si="64"/>
        <v>Медия</v>
      </c>
      <c r="B385" s="14" t="str">
        <f t="shared" ref="B385:B389" si="70">B384</f>
        <v>Закрытая шахта / Заброшенный железный рудник (скрытый)</v>
      </c>
      <c r="C385" s="14" t="s">
        <v>877</v>
      </c>
    </row>
    <row r="386" ht="12.75" customHeight="1">
      <c r="A386" s="21" t="str">
        <f t="shared" si="64"/>
        <v>Медия</v>
      </c>
      <c r="B386" s="14" t="str">
        <f t="shared" si="70"/>
        <v>Закрытая шахта / Заброшенный железный рудник (скрытый)</v>
      </c>
      <c r="C386" s="14" t="s">
        <v>802</v>
      </c>
    </row>
    <row r="387" ht="12.75" customHeight="1">
      <c r="A387" s="21" t="str">
        <f t="shared" si="64"/>
        <v>Медия</v>
      </c>
      <c r="B387" s="14" t="str">
        <f t="shared" si="70"/>
        <v>Закрытая шахта / Заброшенный железный рудник (скрытый)</v>
      </c>
      <c r="C387" s="14" t="s">
        <v>734</v>
      </c>
    </row>
    <row r="388" ht="12.75" customHeight="1">
      <c r="A388" s="21" t="str">
        <f t="shared" si="64"/>
        <v>Медия</v>
      </c>
      <c r="B388" s="14" t="str">
        <f t="shared" si="70"/>
        <v>Закрытая шахта / Заброшенный железный рудник (скрытый)</v>
      </c>
      <c r="C388" s="14" t="s">
        <v>755</v>
      </c>
    </row>
    <row r="389" ht="12.75" customHeight="1">
      <c r="A389" s="21" t="str">
        <f t="shared" si="64"/>
        <v>Медия</v>
      </c>
      <c r="B389" s="14" t="str">
        <f t="shared" si="70"/>
        <v>Закрытая шахта / Заброшенный железный рудник (скрытый)</v>
      </c>
      <c r="C389" s="14" t="s">
        <v>803</v>
      </c>
    </row>
    <row r="390" ht="12.75" customHeight="1">
      <c r="A390" s="21" t="str">
        <f t="shared" si="64"/>
        <v>Медия</v>
      </c>
      <c r="B390" s="21" t="str">
        <f>'УзлыРесы(1)'!G46</f>
        <v>Пристанище безумца</v>
      </c>
      <c r="C390" s="14" t="s">
        <v>829</v>
      </c>
    </row>
    <row r="391" ht="12.75" customHeight="1">
      <c r="A391" s="21" t="str">
        <f t="shared" si="64"/>
        <v>Медия</v>
      </c>
      <c r="B391" s="14" t="str">
        <f>B390</f>
        <v>Пристанище безумца</v>
      </c>
      <c r="C391" s="14" t="s">
        <v>830</v>
      </c>
    </row>
    <row r="392" ht="12.75" customHeight="1">
      <c r="A392" s="21" t="str">
        <f t="shared" si="64"/>
        <v>Медия</v>
      </c>
      <c r="B392" s="21" t="str">
        <f>'УзлыРесы(1)'!G49</f>
        <v>Храм Эллик</v>
      </c>
      <c r="C392" s="14" t="s">
        <v>887</v>
      </c>
    </row>
    <row r="393" ht="12.75" customHeight="1">
      <c r="A393" s="21" t="str">
        <f t="shared" si="64"/>
        <v>Медия</v>
      </c>
      <c r="B393" s="14" t="str">
        <f t="shared" ref="B393:B396" si="71">B392</f>
        <v>Храм Эллик</v>
      </c>
      <c r="C393" s="14" t="s">
        <v>888</v>
      </c>
    </row>
    <row r="394" ht="12.75" customHeight="1">
      <c r="A394" s="21" t="str">
        <f t="shared" si="64"/>
        <v>Медия</v>
      </c>
      <c r="B394" s="14" t="str">
        <f t="shared" si="71"/>
        <v>Храм Эллик</v>
      </c>
      <c r="C394" s="14" t="s">
        <v>850</v>
      </c>
    </row>
    <row r="395" ht="12.75" customHeight="1">
      <c r="A395" s="21" t="str">
        <f t="shared" si="64"/>
        <v>Медия</v>
      </c>
      <c r="B395" s="14" t="str">
        <f t="shared" si="71"/>
        <v>Храм Эллик</v>
      </c>
      <c r="C395" s="14" t="s">
        <v>858</v>
      </c>
    </row>
    <row r="396" ht="12.75" customHeight="1">
      <c r="A396" s="21" t="str">
        <f t="shared" si="64"/>
        <v>Медия</v>
      </c>
      <c r="B396" s="14" t="str">
        <f t="shared" si="71"/>
        <v>Храм Эллик</v>
      </c>
      <c r="C396" s="14" t="s">
        <v>859</v>
      </c>
    </row>
    <row r="397" ht="12.75" customHeight="1">
      <c r="A397" s="21" t="str">
        <f t="shared" si="64"/>
        <v>Медия</v>
      </c>
      <c r="B397" s="21" t="str">
        <f>'УзлыРесы(1)'!L75</f>
        <v>Остров Деплинхард</v>
      </c>
      <c r="C397" s="14" t="s">
        <v>872</v>
      </c>
    </row>
    <row r="398" ht="12.75" customHeight="1">
      <c r="A398" s="21" t="str">
        <f t="shared" si="64"/>
        <v>Медия</v>
      </c>
      <c r="B398" s="14" t="str">
        <f t="shared" ref="B398:B404" si="72">B397</f>
        <v>Остров Деплинхард</v>
      </c>
      <c r="C398" s="14" t="s">
        <v>871</v>
      </c>
    </row>
    <row r="399" ht="12.75" customHeight="1">
      <c r="A399" s="21" t="str">
        <f t="shared" si="64"/>
        <v>Медия</v>
      </c>
      <c r="B399" s="14" t="str">
        <f t="shared" si="72"/>
        <v>Остров Деплинхард</v>
      </c>
      <c r="C399" s="14" t="s">
        <v>873</v>
      </c>
    </row>
    <row r="400" ht="12.75" customHeight="1">
      <c r="A400" s="21" t="str">
        <f t="shared" si="64"/>
        <v>Медия</v>
      </c>
      <c r="B400" s="14" t="str">
        <f t="shared" si="72"/>
        <v>Остров Деплинхард</v>
      </c>
      <c r="C400" s="14" t="s">
        <v>773</v>
      </c>
    </row>
    <row r="401" ht="12.75" customHeight="1">
      <c r="A401" s="21" t="str">
        <f t="shared" si="64"/>
        <v>Медия</v>
      </c>
      <c r="B401" s="14" t="str">
        <f t="shared" si="72"/>
        <v>Остров Деплинхард</v>
      </c>
      <c r="C401" s="14" t="s">
        <v>874</v>
      </c>
    </row>
    <row r="402" ht="12.75" customHeight="1">
      <c r="A402" s="21" t="str">
        <f t="shared" si="64"/>
        <v>Медия</v>
      </c>
      <c r="B402" s="14" t="str">
        <f t="shared" si="72"/>
        <v>Остров Деплинхард</v>
      </c>
      <c r="C402" s="14" t="s">
        <v>736</v>
      </c>
    </row>
    <row r="403" ht="12.75" customHeight="1">
      <c r="A403" s="21" t="str">
        <f t="shared" si="64"/>
        <v>Медия</v>
      </c>
      <c r="B403" s="14" t="str">
        <f t="shared" si="72"/>
        <v>Остров Деплинхард</v>
      </c>
      <c r="C403" s="14" t="s">
        <v>873</v>
      </c>
    </row>
    <row r="404" ht="12.75" customHeight="1">
      <c r="A404" s="21" t="str">
        <f t="shared" si="64"/>
        <v>Медия</v>
      </c>
      <c r="B404" s="14" t="str">
        <f t="shared" si="72"/>
        <v>Остров Деплинхард</v>
      </c>
      <c r="C404" s="14" t="s">
        <v>776</v>
      </c>
    </row>
    <row r="405" ht="12.75" customHeight="1">
      <c r="A405" s="21" t="str">
        <f t="shared" si="64"/>
        <v>Медия</v>
      </c>
      <c r="B405" s="21" t="str">
        <f>'УзлыРесы(1)'!L83</f>
        <v>Остров Тарамура</v>
      </c>
      <c r="C405" s="14" t="s">
        <v>872</v>
      </c>
    </row>
    <row r="406" ht="12.75" customHeight="1">
      <c r="A406" s="21" t="str">
        <f t="shared" si="64"/>
        <v>Медия</v>
      </c>
      <c r="B406" s="14" t="str">
        <f t="shared" ref="B406:B411" si="73">B405</f>
        <v>Остров Тарамура</v>
      </c>
      <c r="C406" s="14" t="s">
        <v>871</v>
      </c>
    </row>
    <row r="407" ht="12.75" customHeight="1">
      <c r="A407" s="21" t="str">
        <f t="shared" si="64"/>
        <v>Медия</v>
      </c>
      <c r="B407" s="14" t="str">
        <f t="shared" si="73"/>
        <v>Остров Тарамура</v>
      </c>
      <c r="C407" s="14" t="s">
        <v>873</v>
      </c>
    </row>
    <row r="408" ht="12.75" customHeight="1">
      <c r="A408" s="21" t="str">
        <f t="shared" si="64"/>
        <v>Медия</v>
      </c>
      <c r="B408" s="14" t="str">
        <f t="shared" si="73"/>
        <v>Остров Тарамура</v>
      </c>
      <c r="C408" s="14" t="s">
        <v>874</v>
      </c>
    </row>
    <row r="409" ht="12.75" customHeight="1">
      <c r="A409" s="21" t="str">
        <f t="shared" si="64"/>
        <v>Медия</v>
      </c>
      <c r="B409" s="14" t="str">
        <f t="shared" si="73"/>
        <v>Остров Тарамура</v>
      </c>
      <c r="C409" s="14" t="s">
        <v>736</v>
      </c>
    </row>
    <row r="410" ht="12.75" customHeight="1">
      <c r="A410" s="21" t="str">
        <f t="shared" si="64"/>
        <v>Медия</v>
      </c>
      <c r="B410" s="14" t="str">
        <f t="shared" si="73"/>
        <v>Остров Тарамура</v>
      </c>
      <c r="C410" s="14" t="s">
        <v>871</v>
      </c>
    </row>
    <row r="411" ht="12.75" customHeight="1">
      <c r="A411" s="21" t="str">
        <f t="shared" si="64"/>
        <v>Медия</v>
      </c>
      <c r="B411" s="14" t="str">
        <f t="shared" si="73"/>
        <v>Остров Тарамура</v>
      </c>
      <c r="C411" s="14" t="s">
        <v>776</v>
      </c>
    </row>
    <row r="412" ht="12.75" customHeight="1">
      <c r="A412" s="21" t="str">
        <f t="shared" si="64"/>
        <v>Медия</v>
      </c>
      <c r="B412" s="21" t="str">
        <f>'УзлыРесы(1)'!Q26</f>
        <v>Каменная пустошь</v>
      </c>
      <c r="C412" s="14" t="s">
        <v>889</v>
      </c>
    </row>
    <row r="413" ht="12.75" customHeight="1">
      <c r="A413" s="21" t="str">
        <f t="shared" si="64"/>
        <v>Медия</v>
      </c>
      <c r="B413" s="14" t="str">
        <f t="shared" ref="B413:B414" si="74">B412</f>
        <v>Каменная пустошь</v>
      </c>
      <c r="C413" s="14" t="s">
        <v>890</v>
      </c>
    </row>
    <row r="414" ht="12.75" customHeight="1">
      <c r="A414" s="21" t="str">
        <f t="shared" si="64"/>
        <v>Медия</v>
      </c>
      <c r="B414" s="14" t="str">
        <f t="shared" si="74"/>
        <v>Каменная пустошь</v>
      </c>
      <c r="C414" s="14" t="s">
        <v>850</v>
      </c>
    </row>
    <row r="415" ht="12.75" customHeight="1">
      <c r="A415" s="21" t="str">
        <f t="shared" si="64"/>
        <v>Медия</v>
      </c>
      <c r="B415" s="21" t="str">
        <f>'УзлыРесы(1)'!Q27</f>
        <v>Северное плато Медии</v>
      </c>
      <c r="C415" s="14" t="s">
        <v>887</v>
      </c>
    </row>
    <row r="416" ht="12.75" customHeight="1">
      <c r="A416" s="21" t="str">
        <f t="shared" si="64"/>
        <v>Медия</v>
      </c>
      <c r="B416" s="14" t="str">
        <f t="shared" ref="B416:B420" si="75">B415</f>
        <v>Северное плато Медии</v>
      </c>
      <c r="C416" s="14" t="s">
        <v>888</v>
      </c>
    </row>
    <row r="417" ht="12.75" customHeight="1">
      <c r="A417" s="21" t="str">
        <f t="shared" si="64"/>
        <v>Медия</v>
      </c>
      <c r="B417" s="14" t="str">
        <f t="shared" si="75"/>
        <v>Северное плато Медии</v>
      </c>
      <c r="C417" s="14" t="s">
        <v>891</v>
      </c>
    </row>
    <row r="418" ht="12.75" customHeight="1">
      <c r="A418" s="21" t="str">
        <f t="shared" si="64"/>
        <v>Медия</v>
      </c>
      <c r="B418" s="14" t="str">
        <f t="shared" si="75"/>
        <v>Северное плато Медии</v>
      </c>
      <c r="C418" s="14" t="s">
        <v>743</v>
      </c>
    </row>
    <row r="419" ht="12.75" customHeight="1">
      <c r="A419" s="21" t="str">
        <f t="shared" si="64"/>
        <v>Медия</v>
      </c>
      <c r="B419" s="14" t="str">
        <f t="shared" si="75"/>
        <v>Северное плато Медии</v>
      </c>
      <c r="C419" s="14" t="s">
        <v>795</v>
      </c>
    </row>
    <row r="420" ht="12.75" customHeight="1">
      <c r="A420" s="21" t="str">
        <f t="shared" si="64"/>
        <v>Медия</v>
      </c>
      <c r="B420" s="14" t="str">
        <f t="shared" si="75"/>
        <v>Северное плато Медии</v>
      </c>
      <c r="C420" s="14" t="s">
        <v>891</v>
      </c>
    </row>
    <row r="421" ht="12.75" customHeight="1">
      <c r="A421" s="21" t="str">
        <f t="shared" si="64"/>
        <v>Медия</v>
      </c>
      <c r="B421" s="21" t="str">
        <f>'УзлыРесы(1)'!Q29</f>
        <v>Храм Камасильва</v>
      </c>
      <c r="C421" s="14" t="s">
        <v>785</v>
      </c>
    </row>
    <row r="422" ht="12.75" customHeight="1">
      <c r="A422" s="21" t="str">
        <f t="shared" si="64"/>
        <v>Медия</v>
      </c>
      <c r="B422" s="14" t="str">
        <f t="shared" ref="B422:B424" si="76">B421</f>
        <v>Храм Камасильва</v>
      </c>
      <c r="C422" s="14" t="s">
        <v>786</v>
      </c>
    </row>
    <row r="423" ht="12.75" customHeight="1">
      <c r="A423" s="21" t="str">
        <f t="shared" si="64"/>
        <v>Медия</v>
      </c>
      <c r="B423" s="14" t="str">
        <f t="shared" si="76"/>
        <v>Храм Камасильва</v>
      </c>
      <c r="C423" s="14" t="s">
        <v>843</v>
      </c>
    </row>
    <row r="424" ht="12.75" customHeight="1">
      <c r="A424" s="21" t="str">
        <f t="shared" si="64"/>
        <v>Медия</v>
      </c>
      <c r="B424" s="14" t="str">
        <f t="shared" si="76"/>
        <v>Храм Камасильва</v>
      </c>
      <c r="C424" s="14" t="s">
        <v>844</v>
      </c>
    </row>
    <row r="425" ht="12.75" customHeight="1">
      <c r="A425" s="21" t="str">
        <f t="shared" si="64"/>
        <v>Медия</v>
      </c>
      <c r="B425" s="41" t="str">
        <f>'УзлыРесы(1)'!Q36</f>
        <v>Место раскопок (Скрытый)</v>
      </c>
      <c r="C425" s="14" t="s">
        <v>892</v>
      </c>
    </row>
    <row r="426" ht="12.75" customHeight="1">
      <c r="A426" s="21" t="str">
        <f t="shared" si="64"/>
        <v>Медия</v>
      </c>
      <c r="B426" s="14" t="str">
        <f t="shared" ref="B426:B428" si="77">B425</f>
        <v>Место раскопок (Скрытый)</v>
      </c>
      <c r="C426" s="14" t="s">
        <v>893</v>
      </c>
    </row>
    <row r="427" ht="12.75" customHeight="1">
      <c r="A427" s="21" t="str">
        <f t="shared" si="64"/>
        <v>Медия</v>
      </c>
      <c r="B427" s="14" t="str">
        <f t="shared" si="77"/>
        <v>Место раскопок (Скрытый)</v>
      </c>
      <c r="C427" s="14" t="s">
        <v>748</v>
      </c>
    </row>
    <row r="428" ht="12.75" customHeight="1">
      <c r="A428" s="21" t="str">
        <f t="shared" si="64"/>
        <v>Медия</v>
      </c>
      <c r="B428" s="14" t="str">
        <f t="shared" si="77"/>
        <v>Место раскопок (Скрытый)</v>
      </c>
      <c r="C428" s="14" t="s">
        <v>894</v>
      </c>
    </row>
    <row r="429" ht="12.75" customHeight="1">
      <c r="A429" s="21" t="str">
        <f t="shared" si="64"/>
        <v>Медия</v>
      </c>
      <c r="B429" s="21" t="str">
        <f>'УзлыРесы(1)'!Q37</f>
        <v>Ферма Эхто</v>
      </c>
      <c r="C429" s="14" t="s">
        <v>883</v>
      </c>
    </row>
    <row r="430" ht="12.75" customHeight="1">
      <c r="A430" s="21" t="str">
        <f t="shared" si="64"/>
        <v>Медия</v>
      </c>
      <c r="B430" s="14" t="str">
        <f t="shared" ref="B430:B432" si="78">B429</f>
        <v>Ферма Эхто</v>
      </c>
      <c r="C430" s="14" t="s">
        <v>884</v>
      </c>
    </row>
    <row r="431" ht="12.75" customHeight="1">
      <c r="A431" s="21" t="str">
        <f t="shared" si="64"/>
        <v>Медия</v>
      </c>
      <c r="B431" s="14" t="str">
        <f t="shared" si="78"/>
        <v>Ферма Эхто</v>
      </c>
      <c r="C431" s="14" t="s">
        <v>895</v>
      </c>
    </row>
    <row r="432" ht="12.75" customHeight="1">
      <c r="A432" s="21" t="str">
        <f t="shared" si="64"/>
        <v>Медия</v>
      </c>
      <c r="B432" s="14" t="str">
        <f t="shared" si="78"/>
        <v>Ферма Эхто</v>
      </c>
      <c r="C432" s="14" t="s">
        <v>896</v>
      </c>
    </row>
    <row r="433" ht="12.75" customHeight="1">
      <c r="A433" s="21" t="str">
        <f t="shared" si="64"/>
        <v>Медия</v>
      </c>
      <c r="B433" s="21" t="str">
        <f>'УзлыРесы(1)'!Q40</f>
        <v>Древний разлом</v>
      </c>
      <c r="C433" s="14" t="s">
        <v>876</v>
      </c>
    </row>
    <row r="434" ht="12.75" customHeight="1">
      <c r="A434" s="21" t="str">
        <f t="shared" si="64"/>
        <v>Медия</v>
      </c>
      <c r="B434" s="14" t="str">
        <f t="shared" ref="B434:B437" si="79">B433</f>
        <v>Древний разлом</v>
      </c>
      <c r="C434" s="14" t="s">
        <v>802</v>
      </c>
    </row>
    <row r="435" ht="12.75" customHeight="1">
      <c r="A435" s="21" t="str">
        <f t="shared" si="64"/>
        <v>Медия</v>
      </c>
      <c r="B435" s="14" t="str">
        <f t="shared" si="79"/>
        <v>Древний разлом</v>
      </c>
      <c r="C435" s="14" t="s">
        <v>897</v>
      </c>
    </row>
    <row r="436" ht="12.75" customHeight="1">
      <c r="A436" s="21" t="str">
        <f t="shared" si="64"/>
        <v>Медия</v>
      </c>
      <c r="B436" s="14" t="str">
        <f t="shared" si="79"/>
        <v>Древний разлом</v>
      </c>
      <c r="C436" s="14" t="s">
        <v>829</v>
      </c>
    </row>
    <row r="437" ht="12.75" customHeight="1">
      <c r="A437" s="21" t="str">
        <f t="shared" si="64"/>
        <v>Медия</v>
      </c>
      <c r="B437" s="14" t="str">
        <f t="shared" si="79"/>
        <v>Древний разлом</v>
      </c>
      <c r="C437" s="14" t="s">
        <v>830</v>
      </c>
    </row>
    <row r="438" ht="12.75" customHeight="1">
      <c r="A438" s="21" t="str">
        <f t="shared" si="64"/>
        <v>Медия</v>
      </c>
      <c r="B438" s="21" t="str">
        <f>'УзлыРесы(1)'!Q41</f>
        <v>Побережье Медии</v>
      </c>
      <c r="C438" s="14" t="s">
        <v>145</v>
      </c>
    </row>
    <row r="439" ht="12.75" customHeight="1">
      <c r="A439" s="21" t="str">
        <f t="shared" si="64"/>
        <v>Медия</v>
      </c>
      <c r="B439" s="14" t="str">
        <f t="shared" ref="B439:B440" si="80">B438</f>
        <v>Побережье Медии</v>
      </c>
      <c r="C439" s="14" t="s">
        <v>745</v>
      </c>
    </row>
    <row r="440" ht="12.75" customHeight="1">
      <c r="A440" s="39" t="str">
        <f t="shared" si="64"/>
        <v>Медия</v>
      </c>
      <c r="B440" s="30" t="str">
        <f t="shared" si="80"/>
        <v>Побережье Медии</v>
      </c>
      <c r="C440" s="30" t="s">
        <v>898</v>
      </c>
    </row>
    <row r="441" ht="12.75" customHeight="1">
      <c r="A441" s="32" t="str">
        <f>'УзлыРесы(1)'!C17</f>
        <v>Валенсия</v>
      </c>
      <c r="B441" s="32" t="str">
        <f>'УзлыРесы(1)'!B17</f>
        <v>Валенсия</v>
      </c>
      <c r="C441" s="14" t="s">
        <v>720</v>
      </c>
    </row>
    <row r="442" ht="12.75" customHeight="1">
      <c r="A442" s="32" t="str">
        <f t="shared" ref="A442:B442" si="81">A441</f>
        <v>Валенсия</v>
      </c>
      <c r="B442" s="34" t="str">
        <f t="shared" si="81"/>
        <v>Валенсия</v>
      </c>
      <c r="C442" s="14" t="s">
        <v>721</v>
      </c>
    </row>
    <row r="443" ht="12.75" customHeight="1">
      <c r="A443" s="32" t="str">
        <f t="shared" ref="A443:A545" si="82">A442</f>
        <v>Валенсия</v>
      </c>
      <c r="B443" s="32" t="str">
        <f>'УзлыРесы(1)'!B41</f>
        <v>Шакату</v>
      </c>
      <c r="C443" s="14" t="s">
        <v>720</v>
      </c>
    </row>
    <row r="444" ht="12.75" customHeight="1">
      <c r="A444" s="32" t="str">
        <f t="shared" si="82"/>
        <v>Валенсия</v>
      </c>
      <c r="B444" s="34" t="str">
        <f>B443</f>
        <v>Шакату</v>
      </c>
      <c r="C444" s="14" t="s">
        <v>721</v>
      </c>
    </row>
    <row r="445" ht="12.75" customHeight="1">
      <c r="A445" s="32" t="str">
        <f t="shared" si="82"/>
        <v>Валенсия</v>
      </c>
      <c r="B445" s="32" t="str">
        <f>'УзлыРесы(1)'!B42</f>
        <v>Восточный базар</v>
      </c>
      <c r="C445" s="14" t="s">
        <v>720</v>
      </c>
    </row>
    <row r="446" ht="12.75" customHeight="1">
      <c r="A446" s="32" t="str">
        <f t="shared" si="82"/>
        <v>Валенсия</v>
      </c>
      <c r="B446" s="34" t="str">
        <f>B445</f>
        <v>Восточный базар</v>
      </c>
      <c r="C446" s="14" t="s">
        <v>721</v>
      </c>
    </row>
    <row r="447" ht="12.75" customHeight="1">
      <c r="A447" s="32" t="str">
        <f t="shared" si="82"/>
        <v>Валенсия</v>
      </c>
      <c r="B447" s="32" t="str">
        <f>'УзлыРесы(1)'!B44</f>
        <v>Деревня Арехаза</v>
      </c>
      <c r="C447" s="34" t="str">
        <f>'УзлыРесы(1)'!D44</f>
        <v>Ящик с отличными кокосами</v>
      </c>
    </row>
    <row r="448" ht="12.75" customHeight="1">
      <c r="A448" s="32" t="str">
        <f t="shared" si="82"/>
        <v>Валенсия</v>
      </c>
      <c r="B448" s="32" t="str">
        <f>'УзлыРесы(1)'!Q72</f>
        <v>Анакреон </v>
      </c>
      <c r="C448" s="34" t="str">
        <f>'УзлыРесы(1)'!S72</f>
        <v>Инжир</v>
      </c>
    </row>
    <row r="449" ht="12.75" customHeight="1">
      <c r="A449" s="32" t="str">
        <f t="shared" si="82"/>
        <v>Валенсия</v>
      </c>
      <c r="B449" s="32" t="str">
        <f>'УзлыРесы(1)'!G55</f>
        <v>Лагерь клана Басим</v>
      </c>
      <c r="C449" s="14" t="s">
        <v>734</v>
      </c>
    </row>
    <row r="450" ht="12.75" customHeight="1">
      <c r="A450" s="32" t="str">
        <f t="shared" si="82"/>
        <v>Валенсия</v>
      </c>
      <c r="B450" s="34" t="str">
        <f t="shared" ref="B450:B451" si="83">B449</f>
        <v>Лагерь клана Басим</v>
      </c>
      <c r="C450" s="14" t="s">
        <v>755</v>
      </c>
    </row>
    <row r="451" ht="12.75" customHeight="1">
      <c r="A451" s="32" t="str">
        <f t="shared" si="82"/>
        <v>Валенсия</v>
      </c>
      <c r="B451" s="34" t="str">
        <f t="shared" si="83"/>
        <v>Лагерь клана Басим</v>
      </c>
      <c r="C451" s="14" t="s">
        <v>803</v>
      </c>
    </row>
    <row r="452" ht="12.75" customHeight="1">
      <c r="A452" s="32" t="str">
        <f t="shared" si="82"/>
        <v>Валенсия</v>
      </c>
      <c r="B452" s="32" t="str">
        <f>'УзлыРесы(1)'!G62</f>
        <v>Храм полумесяца</v>
      </c>
      <c r="C452" s="14" t="s">
        <v>899</v>
      </c>
    </row>
    <row r="453" ht="12.75" customHeight="1">
      <c r="A453" s="32" t="str">
        <f t="shared" si="82"/>
        <v>Валенсия</v>
      </c>
      <c r="B453" s="34" t="str">
        <f t="shared" ref="B453:B455" si="84">B452</f>
        <v>Храм полумесяца</v>
      </c>
      <c r="C453" s="14" t="s">
        <v>900</v>
      </c>
    </row>
    <row r="454" ht="12.75" customHeight="1">
      <c r="A454" s="32" t="str">
        <f t="shared" si="82"/>
        <v>Валенсия</v>
      </c>
      <c r="B454" s="34" t="str">
        <f t="shared" si="84"/>
        <v>Храм полумесяца</v>
      </c>
      <c r="C454" s="14" t="s">
        <v>745</v>
      </c>
    </row>
    <row r="455" ht="12.75" customHeight="1">
      <c r="A455" s="32" t="str">
        <f t="shared" si="82"/>
        <v>Валенсия</v>
      </c>
      <c r="B455" s="34" t="str">
        <f t="shared" si="84"/>
        <v>Храм полумесяца</v>
      </c>
      <c r="C455" s="14" t="s">
        <v>901</v>
      </c>
    </row>
    <row r="456" ht="12.75" customHeight="1">
      <c r="A456" s="32" t="str">
        <f t="shared" si="82"/>
        <v>Валенсия</v>
      </c>
      <c r="B456" s="32" t="str">
        <f>'УзлыРесы(1)'!G63</f>
        <v>Долина Титума</v>
      </c>
      <c r="C456" s="14" t="s">
        <v>902</v>
      </c>
    </row>
    <row r="457" ht="12.75" customHeight="1">
      <c r="A457" s="32" t="str">
        <f t="shared" si="82"/>
        <v>Валенсия</v>
      </c>
      <c r="B457" s="34" t="str">
        <f t="shared" ref="B457:B460" si="85">B456</f>
        <v>Долина Титума</v>
      </c>
      <c r="C457" s="14" t="s">
        <v>903</v>
      </c>
    </row>
    <row r="458" ht="12.75" customHeight="1">
      <c r="A458" s="32" t="str">
        <f t="shared" si="82"/>
        <v>Валенсия</v>
      </c>
      <c r="B458" s="34" t="str">
        <f t="shared" si="85"/>
        <v>Долина Титума</v>
      </c>
      <c r="C458" s="14" t="s">
        <v>904</v>
      </c>
    </row>
    <row r="459" ht="12.75" customHeight="1">
      <c r="A459" s="32" t="str">
        <f t="shared" si="82"/>
        <v>Валенсия</v>
      </c>
      <c r="B459" s="34" t="str">
        <f t="shared" si="85"/>
        <v>Долина Титума</v>
      </c>
      <c r="C459" s="14" t="s">
        <v>905</v>
      </c>
    </row>
    <row r="460" ht="12.75" customHeight="1">
      <c r="A460" s="32" t="str">
        <f t="shared" si="82"/>
        <v>Валенсия</v>
      </c>
      <c r="B460" s="34" t="str">
        <f t="shared" si="85"/>
        <v>Долина Титума</v>
      </c>
      <c r="C460" s="14" t="s">
        <v>906</v>
      </c>
    </row>
    <row r="461" ht="12.75" customHeight="1">
      <c r="A461" s="32" t="str">
        <f t="shared" si="82"/>
        <v>Валенсия</v>
      </c>
      <c r="B461" s="32" t="str">
        <f>'УзлыРесы(1)'!G65</f>
        <v>Серный рудник</v>
      </c>
      <c r="C461" s="14" t="s">
        <v>907</v>
      </c>
    </row>
    <row r="462" ht="12.75" customHeight="1">
      <c r="A462" s="32" t="str">
        <f t="shared" si="82"/>
        <v>Валенсия</v>
      </c>
      <c r="B462" s="34" t="str">
        <f t="shared" ref="B462:B464" si="86">B461</f>
        <v>Серный рудник</v>
      </c>
      <c r="C462" s="14" t="s">
        <v>846</v>
      </c>
    </row>
    <row r="463" ht="12.75" customHeight="1">
      <c r="A463" s="32" t="str">
        <f t="shared" si="82"/>
        <v>Валенсия</v>
      </c>
      <c r="B463" s="34" t="str">
        <f t="shared" si="86"/>
        <v>Серный рудник</v>
      </c>
      <c r="C463" s="14" t="s">
        <v>908</v>
      </c>
    </row>
    <row r="464" ht="12.75" customHeight="1">
      <c r="A464" s="32" t="str">
        <f t="shared" si="82"/>
        <v>Валенсия</v>
      </c>
      <c r="B464" s="34" t="str">
        <f t="shared" si="86"/>
        <v>Серный рудник</v>
      </c>
      <c r="C464" s="14" t="s">
        <v>909</v>
      </c>
    </row>
    <row r="465" ht="12.75" customHeight="1">
      <c r="A465" s="32" t="str">
        <f t="shared" si="82"/>
        <v>Валенсия</v>
      </c>
      <c r="B465" s="32" t="str">
        <f>'УзлыРесы(1)'!Q49</f>
        <v>Змеиная пустошь</v>
      </c>
      <c r="C465" s="14" t="s">
        <v>910</v>
      </c>
    </row>
    <row r="466" ht="12.75" customHeight="1">
      <c r="A466" s="32" t="str">
        <f t="shared" si="82"/>
        <v>Валенсия</v>
      </c>
      <c r="B466" s="34" t="str">
        <f t="shared" ref="B466:B468" si="87">B465</f>
        <v>Змеиная пустошь</v>
      </c>
      <c r="C466" s="14" t="s">
        <v>911</v>
      </c>
    </row>
    <row r="467" ht="12.75" customHeight="1">
      <c r="A467" s="32" t="str">
        <f t="shared" si="82"/>
        <v>Валенсия</v>
      </c>
      <c r="B467" s="34" t="str">
        <f t="shared" si="87"/>
        <v>Змеиная пустошь</v>
      </c>
      <c r="C467" s="14" t="s">
        <v>912</v>
      </c>
    </row>
    <row r="468" ht="12.75" customHeight="1">
      <c r="A468" s="32" t="str">
        <f t="shared" si="82"/>
        <v>Валенсия</v>
      </c>
      <c r="B468" s="34" t="str">
        <f t="shared" si="87"/>
        <v>Змеиная пустошь</v>
      </c>
      <c r="C468" s="14" t="s">
        <v>902</v>
      </c>
    </row>
    <row r="469" ht="12.75" customHeight="1">
      <c r="A469" s="32" t="str">
        <f t="shared" si="82"/>
        <v>Валенсия</v>
      </c>
      <c r="B469" s="32" t="str">
        <f>'УзлыРесы(1)'!Q50</f>
        <v>Ущелье скорби</v>
      </c>
      <c r="C469" s="14" t="s">
        <v>910</v>
      </c>
    </row>
    <row r="470" ht="12.75" customHeight="1">
      <c r="A470" s="32" t="str">
        <f t="shared" si="82"/>
        <v>Валенсия</v>
      </c>
      <c r="B470" s="34" t="str">
        <f t="shared" ref="B470:B471" si="88">B469</f>
        <v>Ущелье скорби</v>
      </c>
      <c r="C470" s="14" t="s">
        <v>911</v>
      </c>
    </row>
    <row r="471" ht="12.75" customHeight="1">
      <c r="A471" s="32" t="str">
        <f t="shared" si="82"/>
        <v>Валенсия</v>
      </c>
      <c r="B471" s="34" t="str">
        <f t="shared" si="88"/>
        <v>Ущелье скорби</v>
      </c>
      <c r="C471" s="14" t="s">
        <v>912</v>
      </c>
    </row>
    <row r="472" ht="12.75" customHeight="1">
      <c r="A472" s="32" t="str">
        <f t="shared" si="82"/>
        <v>Валенсия</v>
      </c>
      <c r="B472" s="32" t="str">
        <f>'УзлыРесы(1)'!Q51</f>
        <v>Владения Куниды</v>
      </c>
      <c r="C472" s="14" t="s">
        <v>913</v>
      </c>
    </row>
    <row r="473" ht="12.75" customHeight="1">
      <c r="A473" s="32" t="str">
        <f t="shared" si="82"/>
        <v>Валенсия</v>
      </c>
      <c r="B473" s="34" t="str">
        <f>B472</f>
        <v>Владения Куниды</v>
      </c>
      <c r="C473" s="14" t="s">
        <v>914</v>
      </c>
    </row>
    <row r="474" ht="12.75" customHeight="1">
      <c r="A474" s="32" t="str">
        <f t="shared" si="82"/>
        <v>Валенсия</v>
      </c>
      <c r="B474" s="32" t="str">
        <f>'УзлыРесы(1)'!Q52</f>
        <v>Водопад Рейны</v>
      </c>
      <c r="C474" s="14" t="s">
        <v>913</v>
      </c>
    </row>
    <row r="475" ht="12.75" customHeight="1">
      <c r="A475" s="32" t="str">
        <f t="shared" si="82"/>
        <v>Валенсия</v>
      </c>
      <c r="B475" s="34" t="str">
        <f>B474</f>
        <v>Водопад Рейны</v>
      </c>
      <c r="C475" s="14" t="s">
        <v>914</v>
      </c>
    </row>
    <row r="476" ht="12.75" customHeight="1">
      <c r="A476" s="32" t="str">
        <f t="shared" si="82"/>
        <v>Валенсия</v>
      </c>
      <c r="B476" s="32" t="str">
        <f>'УзлыРесы(1)'!Q53</f>
        <v>Ущелье Фуркан</v>
      </c>
      <c r="C476" s="14" t="s">
        <v>145</v>
      </c>
    </row>
    <row r="477" ht="12.75" customHeight="1">
      <c r="A477" s="32" t="str">
        <f t="shared" si="82"/>
        <v>Валенсия</v>
      </c>
      <c r="B477" s="34" t="str">
        <f t="shared" ref="B477:B478" si="89">B476</f>
        <v>Ущелье Фуркан</v>
      </c>
      <c r="C477" s="14" t="s">
        <v>745</v>
      </c>
    </row>
    <row r="478" ht="12.75" customHeight="1">
      <c r="A478" s="32" t="str">
        <f t="shared" si="82"/>
        <v>Валенсия</v>
      </c>
      <c r="B478" s="34" t="str">
        <f t="shared" si="89"/>
        <v>Ущелье Фуркан</v>
      </c>
      <c r="C478" s="14" t="s">
        <v>898</v>
      </c>
    </row>
    <row r="479" ht="12.75" customHeight="1">
      <c r="A479" s="32" t="str">
        <f t="shared" si="82"/>
        <v>Валенсия</v>
      </c>
      <c r="B479" s="32" t="str">
        <f>'УзлыРесы(1)'!Q55</f>
        <v>Иллирия</v>
      </c>
      <c r="C479" s="14" t="s">
        <v>145</v>
      </c>
    </row>
    <row r="480" ht="12.75" customHeight="1">
      <c r="A480" s="32" t="str">
        <f t="shared" si="82"/>
        <v>Валенсия</v>
      </c>
      <c r="B480" s="34" t="str">
        <f t="shared" ref="B480:B482" si="90">B479</f>
        <v>Иллирия</v>
      </c>
      <c r="C480" s="14" t="s">
        <v>745</v>
      </c>
    </row>
    <row r="481" ht="12.75" customHeight="1">
      <c r="A481" s="32" t="str">
        <f t="shared" si="82"/>
        <v>Валенсия</v>
      </c>
      <c r="B481" s="34" t="str">
        <f t="shared" si="90"/>
        <v>Иллирия</v>
      </c>
      <c r="C481" s="14" t="s">
        <v>898</v>
      </c>
    </row>
    <row r="482" ht="12.75" customHeight="1">
      <c r="A482" s="32" t="str">
        <f t="shared" si="82"/>
        <v>Валенсия</v>
      </c>
      <c r="B482" s="34" t="str">
        <f t="shared" si="90"/>
        <v>Иллирия</v>
      </c>
      <c r="C482" s="14" t="s">
        <v>903</v>
      </c>
    </row>
    <row r="483" ht="12.75" customHeight="1">
      <c r="A483" s="32" t="str">
        <f t="shared" si="82"/>
        <v>Валенсия</v>
      </c>
      <c r="B483" s="32" t="str">
        <f>'УзлыРесы(1)'!Q58</f>
        <v>Могила мучеников</v>
      </c>
      <c r="C483" s="14" t="s">
        <v>915</v>
      </c>
    </row>
    <row r="484" ht="12.75" customHeight="1">
      <c r="A484" s="32" t="str">
        <f t="shared" si="82"/>
        <v>Валенсия</v>
      </c>
      <c r="B484" s="34" t="str">
        <f t="shared" ref="B484:B488" si="91">B483</f>
        <v>Могила мучеников</v>
      </c>
      <c r="C484" s="14" t="s">
        <v>916</v>
      </c>
    </row>
    <row r="485" ht="12.75" customHeight="1">
      <c r="A485" s="32" t="str">
        <f t="shared" si="82"/>
        <v>Валенсия</v>
      </c>
      <c r="B485" s="34" t="str">
        <f t="shared" si="91"/>
        <v>Могила мучеников</v>
      </c>
      <c r="C485" s="14" t="s">
        <v>917</v>
      </c>
    </row>
    <row r="486" ht="12.75" customHeight="1">
      <c r="A486" s="32" t="str">
        <f t="shared" si="82"/>
        <v>Валенсия</v>
      </c>
      <c r="B486" s="34" t="str">
        <f t="shared" si="91"/>
        <v>Могила мучеников</v>
      </c>
      <c r="C486" s="14" t="s">
        <v>734</v>
      </c>
    </row>
    <row r="487" ht="12.75" customHeight="1">
      <c r="A487" s="32" t="str">
        <f t="shared" si="82"/>
        <v>Валенсия</v>
      </c>
      <c r="B487" s="34" t="str">
        <f t="shared" si="91"/>
        <v>Могила мучеников</v>
      </c>
      <c r="C487" s="14" t="s">
        <v>755</v>
      </c>
    </row>
    <row r="488" ht="12.75" customHeight="1">
      <c r="A488" s="32" t="str">
        <f t="shared" si="82"/>
        <v>Валенсия</v>
      </c>
      <c r="B488" s="34" t="str">
        <f t="shared" si="91"/>
        <v>Могила мучеников</v>
      </c>
      <c r="C488" s="14" t="s">
        <v>803</v>
      </c>
    </row>
    <row r="489" ht="12.75" customHeight="1">
      <c r="A489" s="32" t="str">
        <f t="shared" si="82"/>
        <v>Валенсия</v>
      </c>
      <c r="B489" s="32" t="str">
        <f>'УзлыРесы(1)'!Q60</f>
        <v>Ущелье Пэмбу</v>
      </c>
      <c r="C489" s="34" t="str">
        <f>'УзлыРесы(1)'!S60</f>
        <v>Фрике</v>
      </c>
    </row>
    <row r="490" ht="12.75" customHeight="1">
      <c r="A490" s="32" t="str">
        <f t="shared" si="82"/>
        <v>Валенсия</v>
      </c>
      <c r="B490" s="32" t="str">
        <f>'УзлыРесы(1)'!Q61</f>
        <v>Ущелье Айрис</v>
      </c>
      <c r="C490" s="14" t="s">
        <v>910</v>
      </c>
    </row>
    <row r="491" ht="12.75" customHeight="1">
      <c r="A491" s="32" t="str">
        <f t="shared" si="82"/>
        <v>Валенсия</v>
      </c>
      <c r="B491" s="14" t="str">
        <f t="shared" ref="B491:B493" si="92">B490</f>
        <v>Ущелье Айрис</v>
      </c>
      <c r="C491" s="14" t="s">
        <v>911</v>
      </c>
    </row>
    <row r="492" ht="12.75" customHeight="1">
      <c r="A492" s="32" t="str">
        <f t="shared" si="82"/>
        <v>Валенсия</v>
      </c>
      <c r="B492" s="14" t="str">
        <f t="shared" si="92"/>
        <v>Ущелье Айрис</v>
      </c>
      <c r="C492" s="14" t="s">
        <v>912</v>
      </c>
    </row>
    <row r="493" ht="12.75" customHeight="1">
      <c r="A493" s="32" t="str">
        <f t="shared" si="82"/>
        <v>Валенсия</v>
      </c>
      <c r="B493" s="14" t="str">
        <f t="shared" si="92"/>
        <v>Ущелье Айрис</v>
      </c>
      <c r="C493" s="14" t="s">
        <v>918</v>
      </c>
    </row>
    <row r="494" ht="12.75" customHeight="1">
      <c r="A494" s="32" t="str">
        <f t="shared" si="82"/>
        <v>Валенсия</v>
      </c>
      <c r="B494" s="32" t="str">
        <f>'УзлыРесы(1)'!Q62</f>
        <v>Каньон Марша</v>
      </c>
      <c r="C494" s="14" t="s">
        <v>919</v>
      </c>
    </row>
    <row r="495" ht="12.75" customHeight="1">
      <c r="A495" s="32" t="str">
        <f t="shared" si="82"/>
        <v>Валенсия</v>
      </c>
      <c r="B495" s="14" t="str">
        <f t="shared" ref="B495:B497" si="93">B494</f>
        <v>Каньон Марша</v>
      </c>
      <c r="C495" s="14" t="s">
        <v>846</v>
      </c>
    </row>
    <row r="496" ht="12.75" customHeight="1">
      <c r="A496" s="32" t="str">
        <f t="shared" si="82"/>
        <v>Валенсия</v>
      </c>
      <c r="B496" s="14" t="str">
        <f t="shared" si="93"/>
        <v>Каньон Марша</v>
      </c>
      <c r="C496" s="14" t="s">
        <v>803</v>
      </c>
    </row>
    <row r="497" ht="12.75" customHeight="1">
      <c r="A497" s="32" t="str">
        <f t="shared" si="82"/>
        <v>Валенсия</v>
      </c>
      <c r="B497" s="14" t="str">
        <f t="shared" si="93"/>
        <v>Каньон Марша</v>
      </c>
      <c r="C497" s="14" t="s">
        <v>920</v>
      </c>
    </row>
    <row r="498" ht="12.75" customHeight="1">
      <c r="A498" s="32" t="str">
        <f t="shared" si="82"/>
        <v>Валенсия</v>
      </c>
      <c r="B498" s="51" t="str">
        <f>'УзлыРесы(1)'!Q68</f>
        <v>Святилище паломников Скромность (скрытый)</v>
      </c>
      <c r="C498" s="14" t="s">
        <v>921</v>
      </c>
    </row>
    <row r="499" ht="12.75" customHeight="1">
      <c r="A499" s="32" t="str">
        <f t="shared" si="82"/>
        <v>Валенсия</v>
      </c>
      <c r="B499" s="34" t="str">
        <f>B498</f>
        <v>Святилище паломников Скромность (скрытый)</v>
      </c>
      <c r="C499" s="14" t="s">
        <v>922</v>
      </c>
    </row>
    <row r="500" ht="12.75" customHeight="1">
      <c r="A500" s="32" t="str">
        <f t="shared" si="82"/>
        <v>Валенсия</v>
      </c>
      <c r="B500" s="32" t="str">
        <f>'УзлыРесы(1)'!Q73</f>
        <v>Гора полумесяца</v>
      </c>
      <c r="C500" s="14" t="s">
        <v>734</v>
      </c>
    </row>
    <row r="501" ht="12.75" customHeight="1">
      <c r="A501" s="32" t="str">
        <f t="shared" si="82"/>
        <v>Валенсия</v>
      </c>
      <c r="B501" s="34" t="str">
        <f t="shared" ref="B501:B502" si="94">B500</f>
        <v>Гора полумесяца</v>
      </c>
      <c r="C501" s="14" t="s">
        <v>755</v>
      </c>
    </row>
    <row r="502" ht="12.75" customHeight="1">
      <c r="A502" s="32" t="str">
        <f t="shared" si="82"/>
        <v>Валенсия</v>
      </c>
      <c r="B502" s="34" t="str">
        <f t="shared" si="94"/>
        <v>Гора полумесяца</v>
      </c>
      <c r="C502" s="14" t="s">
        <v>803</v>
      </c>
    </row>
    <row r="503" ht="12.75" customHeight="1">
      <c r="A503" s="32" t="str">
        <f t="shared" si="82"/>
        <v>Валенсия</v>
      </c>
      <c r="B503" s="32" t="str">
        <f>'УзлыРесы(1)'!Q75</f>
        <v>Фермарский базар</v>
      </c>
      <c r="C503" s="14" t="s">
        <v>918</v>
      </c>
    </row>
    <row r="504" ht="12.75" customHeight="1">
      <c r="A504" s="32" t="str">
        <f t="shared" si="82"/>
        <v>Валенсия</v>
      </c>
      <c r="B504" s="34" t="str">
        <f t="shared" ref="B504:B505" si="95">B503</f>
        <v>Фермарский базар</v>
      </c>
      <c r="C504" s="14" t="s">
        <v>903</v>
      </c>
    </row>
    <row r="505" ht="12.75" customHeight="1">
      <c r="A505" s="32" t="str">
        <f t="shared" si="82"/>
        <v>Валенсия</v>
      </c>
      <c r="B505" s="34" t="str">
        <f t="shared" si="95"/>
        <v>Фермарский базар</v>
      </c>
      <c r="C505" s="14" t="s">
        <v>923</v>
      </c>
    </row>
    <row r="506" ht="12.75" customHeight="1">
      <c r="A506" s="32" t="str">
        <f t="shared" si="82"/>
        <v>Валенсия</v>
      </c>
      <c r="B506" s="32" t="str">
        <f>'УзлыРесы(1)'!Q76</f>
        <v>Поля Шакату</v>
      </c>
      <c r="C506" s="14" t="s">
        <v>924</v>
      </c>
    </row>
    <row r="507" ht="12.75" customHeight="1">
      <c r="A507" s="32" t="str">
        <f t="shared" si="82"/>
        <v>Валенсия</v>
      </c>
      <c r="B507" s="34" t="str">
        <f t="shared" ref="B507:B508" si="96">B506</f>
        <v>Поля Шакату</v>
      </c>
      <c r="C507" s="14" t="s">
        <v>498</v>
      </c>
    </row>
    <row r="508" ht="12.75" customHeight="1">
      <c r="A508" s="32" t="str">
        <f t="shared" si="82"/>
        <v>Валенсия</v>
      </c>
      <c r="B508" s="34" t="str">
        <f t="shared" si="96"/>
        <v>Поля Шакату</v>
      </c>
      <c r="C508" s="14" t="s">
        <v>925</v>
      </c>
    </row>
    <row r="509" ht="12.75" customHeight="1">
      <c r="A509" s="32" t="str">
        <f t="shared" si="82"/>
        <v>Валенсия</v>
      </c>
      <c r="B509" s="32" t="str">
        <f>'УзлыРесы(1)'!Q77</f>
        <v>Поля Тасмана</v>
      </c>
      <c r="C509" s="14" t="s">
        <v>903</v>
      </c>
    </row>
    <row r="510" ht="12.75" customHeight="1">
      <c r="A510" s="32" t="str">
        <f t="shared" si="82"/>
        <v>Валенсия</v>
      </c>
      <c r="B510" s="34" t="str">
        <f>B509</f>
        <v>Поля Тасмана</v>
      </c>
      <c r="C510" s="14" t="s">
        <v>926</v>
      </c>
    </row>
    <row r="511" ht="12.75" customHeight="1">
      <c r="A511" s="32" t="str">
        <f t="shared" si="82"/>
        <v>Валенсия</v>
      </c>
      <c r="B511" s="32" t="str">
        <f>'УзлыРесы(1)'!Q78</f>
        <v>Ферма Эрдаль</v>
      </c>
      <c r="C511" s="14" t="s">
        <v>902</v>
      </c>
    </row>
    <row r="512" ht="12.75" customHeight="1">
      <c r="A512" s="32" t="str">
        <f t="shared" si="82"/>
        <v>Валенсия</v>
      </c>
      <c r="B512" s="34" t="str">
        <f t="shared" ref="B512:B515" si="97">B511</f>
        <v>Ферма Эрдаль</v>
      </c>
      <c r="C512" s="14" t="s">
        <v>899</v>
      </c>
    </row>
    <row r="513" ht="12.75" customHeight="1">
      <c r="A513" s="32" t="str">
        <f t="shared" si="82"/>
        <v>Валенсия</v>
      </c>
      <c r="B513" s="34" t="str">
        <f t="shared" si="97"/>
        <v>Ферма Эрдаль</v>
      </c>
      <c r="C513" s="14" t="s">
        <v>927</v>
      </c>
    </row>
    <row r="514" ht="12.75" customHeight="1">
      <c r="A514" s="32" t="str">
        <f t="shared" si="82"/>
        <v>Валенсия</v>
      </c>
      <c r="B514" s="34" t="str">
        <f t="shared" si="97"/>
        <v>Ферма Эрдаль</v>
      </c>
      <c r="C514" s="14" t="s">
        <v>928</v>
      </c>
    </row>
    <row r="515" ht="12.75" customHeight="1">
      <c r="A515" s="32" t="str">
        <f t="shared" si="82"/>
        <v>Валенсия</v>
      </c>
      <c r="B515" s="34" t="str">
        <f t="shared" si="97"/>
        <v>Ферма Эрдаль</v>
      </c>
      <c r="C515" s="14" t="s">
        <v>929</v>
      </c>
    </row>
    <row r="516" ht="12.75" customHeight="1">
      <c r="A516" s="32" t="str">
        <f t="shared" si="82"/>
        <v>Валенсия</v>
      </c>
      <c r="B516" s="32" t="str">
        <f>'УзлыРесы(1)'!Q79</f>
        <v>Платация Валенсии</v>
      </c>
      <c r="C516" s="14" t="s">
        <v>414</v>
      </c>
    </row>
    <row r="517" ht="12.75" customHeight="1">
      <c r="A517" s="32" t="str">
        <f t="shared" si="82"/>
        <v>Валенсия</v>
      </c>
      <c r="B517" s="34" t="str">
        <f t="shared" ref="B517:B519" si="98">B516</f>
        <v>Платация Валенсии</v>
      </c>
      <c r="C517" s="14" t="s">
        <v>902</v>
      </c>
    </row>
    <row r="518" ht="12.75" customHeight="1">
      <c r="A518" s="32" t="str">
        <f t="shared" si="82"/>
        <v>Валенсия</v>
      </c>
      <c r="B518" s="34" t="str">
        <f t="shared" si="98"/>
        <v>Платация Валенсии</v>
      </c>
      <c r="C518" s="14" t="s">
        <v>899</v>
      </c>
    </row>
    <row r="519" ht="12.75" customHeight="1">
      <c r="A519" s="32" t="str">
        <f t="shared" si="82"/>
        <v>Валенсия</v>
      </c>
      <c r="B519" s="34" t="str">
        <f t="shared" si="98"/>
        <v>Платация Валенсии</v>
      </c>
      <c r="C519" s="14" t="s">
        <v>930</v>
      </c>
    </row>
    <row r="520" ht="12.75" customHeight="1">
      <c r="A520" s="32" t="str">
        <f t="shared" si="82"/>
        <v>Валенсия</v>
      </c>
      <c r="B520" s="32" t="str">
        <f>'УзлыРесы(1)'!Q80</f>
        <v>Ферма Фохаллама</v>
      </c>
      <c r="C520" s="14" t="s">
        <v>903</v>
      </c>
    </row>
    <row r="521" ht="12.75" customHeight="1">
      <c r="A521" s="32" t="str">
        <f t="shared" si="82"/>
        <v>Валенсия</v>
      </c>
      <c r="B521" s="34" t="str">
        <f>B520</f>
        <v>Ферма Фохаллама</v>
      </c>
      <c r="C521" s="14" t="s">
        <v>931</v>
      </c>
    </row>
    <row r="522" ht="12.75" customHeight="1">
      <c r="A522" s="32" t="str">
        <f t="shared" si="82"/>
        <v>Валенсия</v>
      </c>
      <c r="B522" s="32" t="str">
        <f>'УзлыРесы(1)'!Q86</f>
        <v>Остров Мадина</v>
      </c>
      <c r="C522" s="34" t="str">
        <f>'УзлыРесы(1)'!S86</f>
        <v>БАРТЕР</v>
      </c>
    </row>
    <row r="523" ht="12.75" customHeight="1">
      <c r="A523" s="32" t="str">
        <f t="shared" si="82"/>
        <v>Валенсия</v>
      </c>
      <c r="B523" s="32" t="str">
        <f>'УзлыРесы(1)'!Q95</f>
        <v>Пальмовый лес Арехаза</v>
      </c>
      <c r="C523" s="14" t="s">
        <v>904</v>
      </c>
    </row>
    <row r="524" ht="12.75" customHeight="1">
      <c r="A524" s="32" t="str">
        <f t="shared" si="82"/>
        <v>Валенсия</v>
      </c>
      <c r="B524" s="34" t="str">
        <f t="shared" ref="B524:B525" si="99">B523</f>
        <v>Пальмовый лес Арехаза</v>
      </c>
      <c r="C524" s="14" t="s">
        <v>905</v>
      </c>
    </row>
    <row r="525" ht="12.75" customHeight="1">
      <c r="A525" s="32" t="str">
        <f t="shared" si="82"/>
        <v>Валенсия</v>
      </c>
      <c r="B525" s="34" t="str">
        <f t="shared" si="99"/>
        <v>Пальмовый лес Арехаза</v>
      </c>
      <c r="C525" s="14" t="s">
        <v>932</v>
      </c>
    </row>
    <row r="526" ht="12.75" customHeight="1">
      <c r="A526" s="32" t="str">
        <f t="shared" si="82"/>
        <v>Валенсия</v>
      </c>
      <c r="B526" s="32" t="str">
        <f>'УзлыРесы(1)'!Q98</f>
        <v>Северные дюны</v>
      </c>
      <c r="C526" s="14" t="s">
        <v>915</v>
      </c>
    </row>
    <row r="527" ht="12.75" customHeight="1">
      <c r="A527" s="32" t="str">
        <f t="shared" si="82"/>
        <v>Валенсия</v>
      </c>
      <c r="B527" s="34" t="str">
        <f t="shared" ref="B527:B528" si="100">B526</f>
        <v>Северные дюны</v>
      </c>
      <c r="C527" s="14" t="s">
        <v>916</v>
      </c>
    </row>
    <row r="528" ht="12.75" customHeight="1">
      <c r="A528" s="32" t="str">
        <f t="shared" si="82"/>
        <v>Валенсия</v>
      </c>
      <c r="B528" s="34" t="str">
        <f t="shared" si="100"/>
        <v>Северные дюны</v>
      </c>
      <c r="C528" s="14" t="s">
        <v>917</v>
      </c>
    </row>
    <row r="529" ht="12.75" customHeight="1">
      <c r="A529" s="32" t="str">
        <f t="shared" si="82"/>
        <v>Валенсия</v>
      </c>
      <c r="B529" s="32" t="str">
        <f>'УзлыРесы(1)'!Q99</f>
        <v>Вулкан Габи</v>
      </c>
      <c r="C529" s="14" t="s">
        <v>919</v>
      </c>
    </row>
    <row r="530" ht="12.75" customHeight="1">
      <c r="A530" s="32" t="str">
        <f t="shared" si="82"/>
        <v>Валенсия</v>
      </c>
      <c r="B530" s="34" t="str">
        <f t="shared" ref="B530:B534" si="101">B529</f>
        <v>Вулкан Габи</v>
      </c>
      <c r="C530" s="14" t="s">
        <v>846</v>
      </c>
    </row>
    <row r="531" ht="12.75" customHeight="1">
      <c r="A531" s="32" t="str">
        <f t="shared" si="82"/>
        <v>Валенсия</v>
      </c>
      <c r="B531" s="34" t="str">
        <f t="shared" si="101"/>
        <v>Вулкан Габи</v>
      </c>
      <c r="C531" s="14" t="s">
        <v>933</v>
      </c>
    </row>
    <row r="532" ht="12.75" customHeight="1">
      <c r="A532" s="32" t="str">
        <f t="shared" si="82"/>
        <v>Валенсия</v>
      </c>
      <c r="B532" s="34" t="str">
        <f t="shared" si="101"/>
        <v>Вулкан Габи</v>
      </c>
      <c r="C532" s="14" t="s">
        <v>900</v>
      </c>
    </row>
    <row r="533" ht="12.75" customHeight="1">
      <c r="A533" s="32" t="str">
        <f t="shared" si="82"/>
        <v>Валенсия</v>
      </c>
      <c r="B533" s="34" t="str">
        <f t="shared" si="101"/>
        <v>Вулкан Габи</v>
      </c>
      <c r="C533" s="14" t="s">
        <v>745</v>
      </c>
    </row>
    <row r="534" ht="12.75" customHeight="1">
      <c r="A534" s="32" t="str">
        <f t="shared" si="82"/>
        <v>Валенсия</v>
      </c>
      <c r="B534" s="34" t="str">
        <f t="shared" si="101"/>
        <v>Вулкан Габи</v>
      </c>
      <c r="C534" s="14" t="s">
        <v>901</v>
      </c>
    </row>
    <row r="535" ht="12.75" customHeight="1">
      <c r="A535" s="32" t="str">
        <f t="shared" si="82"/>
        <v>Валенсия</v>
      </c>
      <c r="B535" s="32" t="str">
        <f>'УзлыРесы(1)'!Q100</f>
        <v>Кратер Габи</v>
      </c>
      <c r="C535" s="14" t="s">
        <v>900</v>
      </c>
    </row>
    <row r="536" ht="12.75" customHeight="1">
      <c r="A536" s="32" t="str">
        <f t="shared" si="82"/>
        <v>Валенсия</v>
      </c>
      <c r="B536" s="34" t="str">
        <f t="shared" ref="B536:B537" si="102">B535</f>
        <v>Кратер Габи</v>
      </c>
      <c r="C536" s="14" t="s">
        <v>745</v>
      </c>
    </row>
    <row r="537" ht="12.75" customHeight="1">
      <c r="A537" s="32" t="str">
        <f t="shared" si="82"/>
        <v>Валенсия</v>
      </c>
      <c r="B537" s="34" t="str">
        <f t="shared" si="102"/>
        <v>Кратер Габи</v>
      </c>
      <c r="C537" s="14" t="s">
        <v>901</v>
      </c>
    </row>
    <row r="538" ht="12.75" customHeight="1">
      <c r="A538" s="32" t="str">
        <f t="shared" si="82"/>
        <v>Валенсия</v>
      </c>
      <c r="B538" s="32" t="str">
        <f>'УзлыРесы(1)'!Q101</f>
        <v>Прибрежные скалы Габи</v>
      </c>
      <c r="C538" s="14" t="s">
        <v>919</v>
      </c>
    </row>
    <row r="539" ht="12.75" customHeight="1">
      <c r="A539" s="32" t="str">
        <f t="shared" si="82"/>
        <v>Валенсия</v>
      </c>
      <c r="B539" s="34" t="str">
        <f t="shared" ref="B539:B542" si="103">B538</f>
        <v>Прибрежные скалы Габи</v>
      </c>
      <c r="C539" s="14" t="s">
        <v>755</v>
      </c>
    </row>
    <row r="540" ht="12.75" customHeight="1">
      <c r="A540" s="32" t="str">
        <f t="shared" si="82"/>
        <v>Валенсия</v>
      </c>
      <c r="B540" s="34" t="str">
        <f t="shared" si="103"/>
        <v>Прибрежные скалы Габи</v>
      </c>
      <c r="C540" s="14" t="s">
        <v>898</v>
      </c>
    </row>
    <row r="541" ht="12.75" customHeight="1">
      <c r="A541" s="32" t="str">
        <f t="shared" si="82"/>
        <v>Валенсия</v>
      </c>
      <c r="B541" s="34" t="str">
        <f t="shared" si="103"/>
        <v>Прибрежные скалы Габи</v>
      </c>
      <c r="C541" s="14" t="s">
        <v>728</v>
      </c>
    </row>
    <row r="542" ht="12.75" customHeight="1">
      <c r="A542" s="32" t="str">
        <f t="shared" si="82"/>
        <v>Валенсия</v>
      </c>
      <c r="B542" s="34" t="str">
        <f t="shared" si="103"/>
        <v>Прибрежные скалы Габи</v>
      </c>
      <c r="C542" s="14" t="s">
        <v>729</v>
      </c>
    </row>
    <row r="543" ht="12.75" customHeight="1">
      <c r="A543" s="32" t="str">
        <f t="shared" si="82"/>
        <v>Валенсия</v>
      </c>
      <c r="B543" s="32" t="str">
        <f>'УзлыРесы(1)'!Q103</f>
        <v>Утес Иверо</v>
      </c>
      <c r="C543" s="14" t="s">
        <v>753</v>
      </c>
    </row>
    <row r="544" ht="12.75" customHeight="1">
      <c r="A544" s="32" t="str">
        <f t="shared" si="82"/>
        <v>Валенсия</v>
      </c>
      <c r="B544" s="34" t="str">
        <f t="shared" ref="B544:B545" si="104">B543</f>
        <v>Утес Иверо</v>
      </c>
      <c r="C544" s="14" t="s">
        <v>934</v>
      </c>
    </row>
    <row r="545" ht="12.75" customHeight="1">
      <c r="A545" s="43" t="str">
        <f t="shared" si="82"/>
        <v>Валенсия</v>
      </c>
      <c r="B545" s="30" t="str">
        <f t="shared" si="104"/>
        <v>Утес Иверо</v>
      </c>
      <c r="C545" s="30" t="s">
        <v>935</v>
      </c>
    </row>
    <row r="546" ht="12.75" customHeight="1">
      <c r="A546" s="24" t="str">
        <f>'УзлыРесы(1)'!C18</f>
        <v>Камасильвия</v>
      </c>
      <c r="B546" s="24" t="str">
        <f>'УзлыРесы(1)'!B18</f>
        <v>Грана</v>
      </c>
      <c r="C546" s="14" t="s">
        <v>904</v>
      </c>
    </row>
    <row r="547" ht="12.75" customHeight="1">
      <c r="A547" s="24" t="str">
        <f t="shared" ref="A547:B547" si="105">A546</f>
        <v>Камасильвия</v>
      </c>
      <c r="B547" s="34" t="str">
        <f t="shared" si="105"/>
        <v>Грана</v>
      </c>
      <c r="C547" s="14" t="s">
        <v>905</v>
      </c>
    </row>
    <row r="548" ht="12.75" customHeight="1">
      <c r="A548" s="24" t="str">
        <f t="shared" ref="A548:B548" si="106">A547</f>
        <v>Камасильвия</v>
      </c>
      <c r="B548" s="34" t="str">
        <f t="shared" si="106"/>
        <v>Грана</v>
      </c>
      <c r="C548" s="14" t="s">
        <v>932</v>
      </c>
    </row>
    <row r="549" ht="12.75" customHeight="1">
      <c r="A549" s="24" t="str">
        <f t="shared" ref="A549:A570" si="107">A548</f>
        <v>Камасильвия</v>
      </c>
      <c r="B549" s="24" t="str">
        <f>'УзлыРесы(1)'!V36</f>
        <v>Горная деревня</v>
      </c>
      <c r="C549" s="14" t="s">
        <v>936</v>
      </c>
    </row>
    <row r="550" ht="12.75" customHeight="1">
      <c r="A550" s="24" t="str">
        <f t="shared" si="107"/>
        <v>Камасильвия</v>
      </c>
      <c r="B550" s="34" t="str">
        <f>B549</f>
        <v>Горная деревня</v>
      </c>
      <c r="C550" s="14" t="s">
        <v>937</v>
      </c>
    </row>
    <row r="551" ht="12.75" customHeight="1">
      <c r="A551" s="24" t="str">
        <f t="shared" si="107"/>
        <v>Камасильвия</v>
      </c>
      <c r="B551" s="24" t="str">
        <f>'УзлыРесы(1)'!V40</f>
        <v>Озеро Флондор</v>
      </c>
      <c r="C551" s="14" t="s">
        <v>938</v>
      </c>
    </row>
    <row r="552" ht="12.75" customHeight="1">
      <c r="A552" s="24" t="str">
        <f t="shared" si="107"/>
        <v>Камасильвия</v>
      </c>
      <c r="B552" s="34" t="str">
        <f>B551</f>
        <v>Озеро Флондор</v>
      </c>
      <c r="C552" s="14" t="s">
        <v>860</v>
      </c>
    </row>
    <row r="553" ht="12.75" customHeight="1">
      <c r="A553" s="24" t="str">
        <f t="shared" si="107"/>
        <v>Камасильвия</v>
      </c>
      <c r="B553" s="24" t="str">
        <f>'УзлыРесы(1)'!G71</f>
        <v>Плетеный лес</v>
      </c>
      <c r="C553" s="14" t="s">
        <v>939</v>
      </c>
    </row>
    <row r="554" ht="12.75" customHeight="1">
      <c r="A554" s="24" t="str">
        <f t="shared" si="107"/>
        <v>Камасильвия</v>
      </c>
      <c r="B554" s="34" t="str">
        <f t="shared" ref="B554:B555" si="108">B553</f>
        <v>Плетеный лес</v>
      </c>
      <c r="C554" s="14" t="s">
        <v>940</v>
      </c>
    </row>
    <row r="555" ht="12.75" customHeight="1">
      <c r="A555" s="24" t="str">
        <f t="shared" si="107"/>
        <v>Камасильвия</v>
      </c>
      <c r="B555" s="34" t="str">
        <f t="shared" si="108"/>
        <v>Плетеный лес</v>
      </c>
      <c r="C555" s="14" t="s">
        <v>941</v>
      </c>
    </row>
    <row r="556" ht="12.75" customHeight="1">
      <c r="A556" s="24" t="str">
        <f t="shared" si="107"/>
        <v>Камасильвия</v>
      </c>
      <c r="B556" s="24" t="str">
        <f>'УзлыРесы(1)'!G72</f>
        <v>Лес альв</v>
      </c>
      <c r="C556" s="14" t="s">
        <v>862</v>
      </c>
    </row>
    <row r="557" ht="12.75" customHeight="1">
      <c r="A557" s="24" t="str">
        <f t="shared" si="107"/>
        <v>Камасильвия</v>
      </c>
      <c r="B557" s="34" t="str">
        <f t="shared" ref="B557:B558" si="109">B556</f>
        <v>Лес альв</v>
      </c>
      <c r="C557" s="14" t="s">
        <v>821</v>
      </c>
    </row>
    <row r="558" ht="12.75" customHeight="1">
      <c r="A558" s="24" t="str">
        <f t="shared" si="107"/>
        <v>Камасильвия</v>
      </c>
      <c r="B558" s="34" t="str">
        <f t="shared" si="109"/>
        <v>Лес альв</v>
      </c>
      <c r="C558" s="14" t="s">
        <v>942</v>
      </c>
    </row>
    <row r="559" ht="12.75" customHeight="1">
      <c r="A559" s="24" t="str">
        <f t="shared" si="107"/>
        <v>Камасильвия</v>
      </c>
      <c r="B559" s="24" t="str">
        <f>'УзлыРесы(1)'!V32</f>
        <v>Пруд Антаци</v>
      </c>
      <c r="C559" s="34" t="str">
        <f>'УзлыРесы(1)'!X32</f>
        <v>Сияние Антаци</v>
      </c>
    </row>
    <row r="560" ht="12.75" customHeight="1">
      <c r="A560" s="24" t="str">
        <f t="shared" si="107"/>
        <v>Камасильвия</v>
      </c>
      <c r="B560" s="24" t="str">
        <f>'УзлыРесы(1)'!V34</f>
        <v>Тенистый лес</v>
      </c>
      <c r="C560" s="14" t="s">
        <v>943</v>
      </c>
    </row>
    <row r="561" ht="12.75" customHeight="1">
      <c r="A561" s="24" t="str">
        <f t="shared" si="107"/>
        <v>Камасильвия</v>
      </c>
      <c r="B561" s="34" t="str">
        <f t="shared" ref="B561:B562" si="110">B560</f>
        <v>Тенистый лес</v>
      </c>
      <c r="C561" s="14" t="s">
        <v>944</v>
      </c>
    </row>
    <row r="562" ht="12.75" customHeight="1">
      <c r="A562" s="24" t="str">
        <f t="shared" si="107"/>
        <v>Камасильвия</v>
      </c>
      <c r="B562" s="34" t="str">
        <f t="shared" si="110"/>
        <v>Тенистый лес</v>
      </c>
      <c r="C562" s="34" t="s">
        <v>945</v>
      </c>
    </row>
    <row r="563" ht="12.75" customHeight="1">
      <c r="A563" s="24" t="str">
        <f t="shared" si="107"/>
        <v>Камасильвия</v>
      </c>
      <c r="B563" s="24" t="str">
        <f>'УзлыРесы(1)'!V35</f>
        <v>Одинокий лес</v>
      </c>
      <c r="C563" s="14" t="s">
        <v>938</v>
      </c>
    </row>
    <row r="564" ht="12.75" customHeight="1">
      <c r="A564" s="24" t="str">
        <f t="shared" si="107"/>
        <v>Камасильвия</v>
      </c>
      <c r="B564" s="34" t="str">
        <f>B563</f>
        <v>Одинокий лес</v>
      </c>
      <c r="C564" s="14" t="s">
        <v>802</v>
      </c>
    </row>
    <row r="565" ht="12.75" customHeight="1">
      <c r="A565" s="24" t="str">
        <f t="shared" si="107"/>
        <v>Камасильвия</v>
      </c>
      <c r="B565" s="24" t="str">
        <f>'УзлыРесы(1)'!V41</f>
        <v>Лес Полли</v>
      </c>
      <c r="C565" s="14" t="s">
        <v>946</v>
      </c>
    </row>
    <row r="566" ht="12.75" customHeight="1">
      <c r="A566" s="24" t="str">
        <f t="shared" si="107"/>
        <v>Камасильвия</v>
      </c>
      <c r="B566" s="34" t="str">
        <f>B565</f>
        <v>Лес Полли</v>
      </c>
      <c r="C566" s="14" t="s">
        <v>947</v>
      </c>
    </row>
    <row r="567" ht="12.75" customHeight="1">
      <c r="A567" s="24" t="str">
        <f t="shared" si="107"/>
        <v>Камасильвия</v>
      </c>
      <c r="B567" s="24" t="str">
        <f>'УзлыРесы(1)'!V44</f>
        <v>Лесная хижина Реони</v>
      </c>
      <c r="C567" s="14" t="s">
        <v>948</v>
      </c>
    </row>
    <row r="568" ht="12.75" customHeight="1">
      <c r="A568" s="24" t="str">
        <f t="shared" si="107"/>
        <v>Камасильвия</v>
      </c>
      <c r="B568" s="34" t="str">
        <f>B567</f>
        <v>Лесная хижина Реони</v>
      </c>
      <c r="C568" s="14" t="s">
        <v>949</v>
      </c>
    </row>
    <row r="569" ht="12.75" customHeight="1">
      <c r="A569" s="24" t="str">
        <f t="shared" si="107"/>
        <v>Камасильвия</v>
      </c>
      <c r="B569" s="24" t="str">
        <f>'УзлыРесы(1)'!V45</f>
        <v>Лесная хижина Винни</v>
      </c>
      <c r="C569" s="14" t="s">
        <v>950</v>
      </c>
    </row>
    <row r="570" ht="12.75" customHeight="1">
      <c r="A570" s="40" t="str">
        <f t="shared" si="107"/>
        <v>Камасильвия</v>
      </c>
      <c r="B570" s="30" t="str">
        <f>B569</f>
        <v>Лесная хижина Винни</v>
      </c>
      <c r="C570" s="30" t="s">
        <v>951</v>
      </c>
    </row>
    <row r="571" ht="12.75" customHeight="1">
      <c r="A571" s="23" t="str">
        <f>'УзлыРесы(1)'!C19</f>
        <v>Дриган</v>
      </c>
      <c r="B571" s="23" t="str">
        <f>'УзлыРесы(1)'!B19</f>
        <v>Двенкрун</v>
      </c>
      <c r="C571" s="14" t="s">
        <v>720</v>
      </c>
    </row>
    <row r="572" ht="12.75" customHeight="1">
      <c r="A572" s="23" t="str">
        <f t="shared" ref="A572:B572" si="111">A571</f>
        <v>Дриган</v>
      </c>
      <c r="B572" s="34" t="str">
        <f t="shared" si="111"/>
        <v>Двенкрун</v>
      </c>
      <c r="C572" s="14" t="s">
        <v>721</v>
      </c>
    </row>
    <row r="573" ht="12.75" customHeight="1">
      <c r="A573" s="23" t="str">
        <f t="shared" ref="A573:A602" si="112">A572</f>
        <v>Дриган</v>
      </c>
      <c r="B573" s="23" t="str">
        <f>'УзлыРесы(1)'!G5</f>
        <v>Лесопилка Дормана</v>
      </c>
      <c r="C573" s="14" t="s">
        <v>822</v>
      </c>
    </row>
    <row r="574" ht="12.75" customHeight="1">
      <c r="A574" s="23" t="str">
        <f t="shared" si="112"/>
        <v>Дриган</v>
      </c>
      <c r="B574" s="34" t="str">
        <f t="shared" ref="B574:B578" si="113">B573</f>
        <v>Лесопилка Дормана</v>
      </c>
      <c r="C574" s="14" t="s">
        <v>952</v>
      </c>
    </row>
    <row r="575" ht="12.75" customHeight="1">
      <c r="A575" s="23" t="str">
        <f t="shared" si="112"/>
        <v>Дриган</v>
      </c>
      <c r="B575" s="34" t="str">
        <f t="shared" si="113"/>
        <v>Лесопилка Дормана</v>
      </c>
      <c r="C575" s="14" t="s">
        <v>823</v>
      </c>
    </row>
    <row r="576" ht="12.75" customHeight="1">
      <c r="A576" s="23" t="str">
        <f t="shared" si="112"/>
        <v>Дриган</v>
      </c>
      <c r="B576" s="34" t="str">
        <f t="shared" si="113"/>
        <v>Лесопилка Дормана</v>
      </c>
      <c r="C576" s="14" t="s">
        <v>953</v>
      </c>
    </row>
    <row r="577" ht="12.75" customHeight="1">
      <c r="A577" s="23" t="str">
        <f t="shared" si="112"/>
        <v>Дриган</v>
      </c>
      <c r="B577" s="34" t="str">
        <f t="shared" si="113"/>
        <v>Лесопилка Дормана</v>
      </c>
      <c r="C577" s="14" t="s">
        <v>954</v>
      </c>
    </row>
    <row r="578" ht="12.75" customHeight="1">
      <c r="A578" s="23" t="str">
        <f t="shared" si="112"/>
        <v>Дриган</v>
      </c>
      <c r="B578" s="34" t="str">
        <f t="shared" si="113"/>
        <v>Лесопилка Дормана</v>
      </c>
      <c r="C578" s="14" t="s">
        <v>955</v>
      </c>
    </row>
    <row r="579" ht="12.75" customHeight="1">
      <c r="A579" s="23" t="str">
        <f t="shared" si="112"/>
        <v>Дриган</v>
      </c>
      <c r="B579" s="23" t="str">
        <f>'УзлыРесы(1)'!V58</f>
        <v>Лесопилка Химута</v>
      </c>
      <c r="C579" s="14" t="s">
        <v>796</v>
      </c>
    </row>
    <row r="580" ht="12.75" customHeight="1">
      <c r="A580" s="23" t="str">
        <f t="shared" si="112"/>
        <v>Дриган</v>
      </c>
      <c r="B580" s="34" t="str">
        <f t="shared" ref="B580:B584" si="114">B579</f>
        <v>Лесопилка Химута</v>
      </c>
      <c r="C580" s="14" t="s">
        <v>956</v>
      </c>
    </row>
    <row r="581" ht="12.75" customHeight="1">
      <c r="A581" s="23" t="str">
        <f t="shared" si="112"/>
        <v>Дриган</v>
      </c>
      <c r="B581" s="34" t="str">
        <f t="shared" si="114"/>
        <v>Лесопилка Химута</v>
      </c>
      <c r="C581" s="14" t="s">
        <v>865</v>
      </c>
    </row>
    <row r="582" ht="12.75" customHeight="1">
      <c r="A582" s="23" t="str">
        <f t="shared" si="112"/>
        <v>Дриган</v>
      </c>
      <c r="B582" s="34" t="str">
        <f t="shared" si="114"/>
        <v>Лесопилка Химута</v>
      </c>
      <c r="C582" s="14" t="s">
        <v>841</v>
      </c>
    </row>
    <row r="583" ht="12.75" customHeight="1">
      <c r="A583" s="23" t="str">
        <f t="shared" si="112"/>
        <v>Дриган</v>
      </c>
      <c r="B583" s="34" t="str">
        <f t="shared" si="114"/>
        <v>Лесопилка Химута</v>
      </c>
      <c r="C583" s="14" t="s">
        <v>957</v>
      </c>
    </row>
    <row r="584" ht="12.75" customHeight="1">
      <c r="A584" s="23" t="str">
        <f t="shared" si="112"/>
        <v>Дриган</v>
      </c>
      <c r="B584" s="34" t="str">
        <f t="shared" si="114"/>
        <v>Лесопилка Химута</v>
      </c>
      <c r="C584" s="14" t="s">
        <v>842</v>
      </c>
    </row>
    <row r="585" ht="12.75" customHeight="1">
      <c r="A585" s="23" t="str">
        <f t="shared" si="112"/>
        <v>Дриган</v>
      </c>
      <c r="B585" s="23" t="str">
        <f>'УзлыРесы(1)'!G75</f>
        <v>Скалы Акумуса</v>
      </c>
      <c r="C585" s="14" t="s">
        <v>734</v>
      </c>
    </row>
    <row r="586" ht="12.75" customHeight="1">
      <c r="A586" s="23" t="str">
        <f t="shared" si="112"/>
        <v>Дриган</v>
      </c>
      <c r="B586" s="34" t="str">
        <f t="shared" ref="B586:B587" si="115">B585</f>
        <v>Скалы Акумуса</v>
      </c>
      <c r="C586" s="14" t="s">
        <v>938</v>
      </c>
    </row>
    <row r="587" ht="12.75" customHeight="1">
      <c r="A587" s="23" t="str">
        <f t="shared" si="112"/>
        <v>Дриган</v>
      </c>
      <c r="B587" s="34" t="str">
        <f t="shared" si="115"/>
        <v>Скалы Акумуса</v>
      </c>
      <c r="C587" s="14" t="s">
        <v>958</v>
      </c>
    </row>
    <row r="588" ht="12.75" customHeight="1">
      <c r="A588" s="23" t="str">
        <f t="shared" si="112"/>
        <v>Дриган</v>
      </c>
      <c r="B588" s="23" t="str">
        <f>'УзлыРесы(1)'!V49</f>
        <v>Поля Двенкруна</v>
      </c>
      <c r="C588" s="14" t="s">
        <v>816</v>
      </c>
    </row>
    <row r="589" ht="12.75" customHeight="1">
      <c r="A589" s="23" t="str">
        <f t="shared" si="112"/>
        <v>Дриган</v>
      </c>
      <c r="B589" s="34" t="str">
        <f>B588</f>
        <v>Поля Двенкруна</v>
      </c>
      <c r="C589" s="14" t="s">
        <v>731</v>
      </c>
    </row>
    <row r="590" ht="12.75" customHeight="1">
      <c r="A590" s="23" t="str">
        <f t="shared" si="112"/>
        <v>Дриган</v>
      </c>
      <c r="B590" s="23" t="str">
        <f>'УзлыРесы(1)'!V50</f>
        <v>Каньон Карков</v>
      </c>
      <c r="C590" s="14" t="s">
        <v>938</v>
      </c>
    </row>
    <row r="591" ht="12.75" customHeight="1">
      <c r="A591" s="23" t="str">
        <f t="shared" si="112"/>
        <v>Дриган</v>
      </c>
      <c r="B591" s="34" t="str">
        <f t="shared" ref="B591:B592" si="116">B590</f>
        <v>Каньон Карков</v>
      </c>
      <c r="C591" s="14" t="s">
        <v>959</v>
      </c>
    </row>
    <row r="592" ht="12.75" customHeight="1">
      <c r="A592" s="23" t="str">
        <f t="shared" si="112"/>
        <v>Дриган</v>
      </c>
      <c r="B592" s="34" t="str">
        <f t="shared" si="116"/>
        <v>Каньон Карков</v>
      </c>
      <c r="C592" s="14" t="s">
        <v>876</v>
      </c>
    </row>
    <row r="593" ht="12.75" customHeight="1">
      <c r="A593" s="23" t="str">
        <f t="shared" si="112"/>
        <v>Дриган</v>
      </c>
      <c r="B593" s="23" t="str">
        <f>'УзлыРесы(1)'!V51</f>
        <v>Могила Шерехана</v>
      </c>
      <c r="C593" s="14" t="s">
        <v>960</v>
      </c>
    </row>
    <row r="594" ht="12.75" customHeight="1">
      <c r="A594" s="23" t="str">
        <f t="shared" si="112"/>
        <v>Дриган</v>
      </c>
      <c r="B594" s="34" t="str">
        <f>B593</f>
        <v>Могила Шерехана</v>
      </c>
      <c r="C594" s="14" t="s">
        <v>922</v>
      </c>
    </row>
    <row r="595" ht="12.75" customHeight="1">
      <c r="A595" s="23" t="str">
        <f t="shared" si="112"/>
        <v>Дриган</v>
      </c>
      <c r="B595" s="23" t="str">
        <f>'УзлыРесы(1)'!V56</f>
        <v>Ручей желаний</v>
      </c>
      <c r="C595" s="14" t="s">
        <v>961</v>
      </c>
    </row>
    <row r="596" ht="12.75" customHeight="1">
      <c r="A596" s="23" t="str">
        <f t="shared" si="112"/>
        <v>Дриган</v>
      </c>
      <c r="B596" s="34" t="str">
        <f>B595</f>
        <v>Ручей желаний</v>
      </c>
      <c r="C596" s="14" t="s">
        <v>808</v>
      </c>
    </row>
    <row r="597" ht="12.75" customHeight="1">
      <c r="A597" s="23" t="str">
        <f t="shared" si="112"/>
        <v>Дриган</v>
      </c>
      <c r="B597" s="23" t="str">
        <f>'УзлыРесы(1)'!V57</f>
        <v>Горы Гервиша</v>
      </c>
      <c r="C597" s="14" t="s">
        <v>620</v>
      </c>
    </row>
    <row r="598" ht="12.75" customHeight="1">
      <c r="A598" s="23" t="str">
        <f t="shared" si="112"/>
        <v>Дриган</v>
      </c>
      <c r="B598" s="34" t="str">
        <f>B597</f>
        <v>Горы Гервиша</v>
      </c>
      <c r="C598" s="14" t="s">
        <v>728</v>
      </c>
    </row>
    <row r="599" ht="12.75" customHeight="1">
      <c r="A599" s="23" t="str">
        <f t="shared" si="112"/>
        <v>Дриган</v>
      </c>
      <c r="B599" s="23" t="str">
        <f>'УзлыРесы(1)'!V59</f>
        <v>Руины Тширы</v>
      </c>
      <c r="C599" s="14" t="s">
        <v>620</v>
      </c>
    </row>
    <row r="600" ht="12.75" customHeight="1">
      <c r="A600" s="23" t="str">
        <f t="shared" si="112"/>
        <v>Дриган</v>
      </c>
      <c r="B600" s="34" t="str">
        <f>B599</f>
        <v>Руины Тширы</v>
      </c>
      <c r="C600" s="14" t="s">
        <v>962</v>
      </c>
    </row>
    <row r="601" ht="12.75" customHeight="1">
      <c r="A601" s="23" t="str">
        <f t="shared" si="112"/>
        <v>Дриган</v>
      </c>
      <c r="B601" s="23" t="str">
        <f>'УзлыРесы(1)'!V60</f>
        <v>Ферма Марака</v>
      </c>
      <c r="C601" s="14" t="s">
        <v>731</v>
      </c>
    </row>
    <row r="602" ht="12.75" customHeight="1">
      <c r="A602" s="48" t="str">
        <f t="shared" si="112"/>
        <v>Дриган</v>
      </c>
      <c r="B602" s="30" t="str">
        <f>B601</f>
        <v>Ферма Марака</v>
      </c>
      <c r="C602" s="30" t="s">
        <v>816</v>
      </c>
    </row>
    <row r="603" ht="12.75" customHeight="1">
      <c r="A603" s="71" t="str">
        <f>'УзлыРесы(1)'!C20</f>
        <v>Одиллита</v>
      </c>
      <c r="B603" s="71" t="str">
        <f>'УзлыРесы(1)'!V61</f>
        <v>Колючий лес</v>
      </c>
      <c r="C603" s="14" t="s">
        <v>963</v>
      </c>
    </row>
    <row r="604" ht="12.75" customHeight="1">
      <c r="A604" s="71" t="str">
        <f t="shared" ref="A604:B604" si="117">A603</f>
        <v>Одиллита</v>
      </c>
      <c r="B604" s="14" t="str">
        <f t="shared" si="117"/>
        <v>Колючий лес</v>
      </c>
      <c r="C604" s="14" t="s">
        <v>964</v>
      </c>
    </row>
    <row r="605" ht="12.75" customHeight="1">
      <c r="A605" s="71" t="str">
        <f t="shared" ref="A605:A621" si="118">A604</f>
        <v>Одиллита</v>
      </c>
      <c r="B605" s="71" t="str">
        <f>'УзлыРесы(1)'!V62</f>
        <v>Склеп забытых мыслей</v>
      </c>
      <c r="C605" s="14" t="s">
        <v>854</v>
      </c>
    </row>
    <row r="606" ht="12.75" customHeight="1">
      <c r="A606" s="71" t="str">
        <f t="shared" si="118"/>
        <v>Одиллита</v>
      </c>
      <c r="B606" s="34" t="str">
        <f>B605</f>
        <v>Склеп забытых мыслей</v>
      </c>
      <c r="C606" s="14" t="s">
        <v>820</v>
      </c>
    </row>
    <row r="607" ht="12.75" customHeight="1">
      <c r="A607" s="71" t="str">
        <f t="shared" si="118"/>
        <v>Одиллита</v>
      </c>
      <c r="B607" s="71" t="str">
        <f>'УзлыРесы(1)'!V63</f>
        <v>Наксион</v>
      </c>
      <c r="C607" s="14" t="s">
        <v>723</v>
      </c>
    </row>
    <row r="608" ht="12.75" customHeight="1">
      <c r="A608" s="71" t="str">
        <f t="shared" si="118"/>
        <v>Одиллита</v>
      </c>
      <c r="B608" s="34" t="str">
        <f>B607</f>
        <v>Наксион</v>
      </c>
      <c r="C608" s="14" t="s">
        <v>965</v>
      </c>
    </row>
    <row r="609" ht="12.75" customHeight="1">
      <c r="A609" s="71" t="str">
        <f t="shared" si="118"/>
        <v>Одиллита</v>
      </c>
      <c r="B609" s="71" t="str">
        <f>'УзлыРесы(1)'!V66</f>
        <v>Порт Звездной полночи</v>
      </c>
      <c r="C609" s="14" t="s">
        <v>832</v>
      </c>
    </row>
    <row r="610" ht="12.75" customHeight="1">
      <c r="A610" s="71" t="str">
        <f t="shared" si="118"/>
        <v>Одиллита</v>
      </c>
      <c r="B610" s="34" t="str">
        <f t="shared" ref="B610:B612" si="119">B609</f>
        <v>Порт Звездной полночи</v>
      </c>
      <c r="C610" s="14" t="s">
        <v>966</v>
      </c>
    </row>
    <row r="611" ht="12.75" customHeight="1">
      <c r="A611" s="71" t="str">
        <f t="shared" si="118"/>
        <v>Одиллита</v>
      </c>
      <c r="B611" s="34" t="str">
        <f t="shared" si="119"/>
        <v>Порт Звездной полночи</v>
      </c>
      <c r="C611" s="14" t="s">
        <v>967</v>
      </c>
    </row>
    <row r="612" ht="12.75" customHeight="1">
      <c r="A612" s="71" t="str">
        <f t="shared" si="118"/>
        <v>Одиллита</v>
      </c>
      <c r="B612" s="34" t="str">
        <f t="shared" si="119"/>
        <v>Порт Звездной полночи</v>
      </c>
      <c r="C612" s="14" t="s">
        <v>968</v>
      </c>
    </row>
    <row r="613" ht="12.75" customHeight="1">
      <c r="A613" s="71" t="str">
        <f t="shared" si="118"/>
        <v>Одиллита</v>
      </c>
      <c r="B613" s="71" t="str">
        <f>'УзлыРесы(1)'!V71</f>
        <v>Долина Оллуна</v>
      </c>
      <c r="C613" s="14" t="s">
        <v>969</v>
      </c>
    </row>
    <row r="614" ht="12.75" customHeight="1">
      <c r="A614" s="71" t="str">
        <f t="shared" si="118"/>
        <v>Одиллита</v>
      </c>
      <c r="B614" s="34" t="str">
        <f t="shared" ref="B614:B615" si="120">B613</f>
        <v>Долина Оллуна</v>
      </c>
      <c r="C614" s="14" t="s">
        <v>959</v>
      </c>
    </row>
    <row r="615" ht="12.75" customHeight="1">
      <c r="A615" s="71" t="str">
        <f t="shared" si="118"/>
        <v>Одиллита</v>
      </c>
      <c r="B615" s="34" t="str">
        <f t="shared" si="120"/>
        <v>Долина Оллуна</v>
      </c>
      <c r="C615" s="14" t="s">
        <v>755</v>
      </c>
    </row>
    <row r="616" ht="12.75" customHeight="1">
      <c r="A616" s="71" t="str">
        <f t="shared" si="118"/>
        <v>Одиллита</v>
      </c>
      <c r="B616" s="71" t="str">
        <f>'УзлыРесы(1)'!V77</f>
        <v>Плантация Деллимор</v>
      </c>
      <c r="C616" s="14" t="s">
        <v>756</v>
      </c>
    </row>
    <row r="617" ht="12.75" customHeight="1">
      <c r="A617" s="71" t="str">
        <f t="shared" si="118"/>
        <v>Одиллита</v>
      </c>
      <c r="B617" s="34" t="str">
        <f>B616</f>
        <v>Плантация Деллимор</v>
      </c>
      <c r="C617" s="14" t="s">
        <v>722</v>
      </c>
    </row>
    <row r="618" ht="12.75" customHeight="1">
      <c r="A618" s="71" t="str">
        <f t="shared" si="118"/>
        <v>Одиллита</v>
      </c>
      <c r="B618" s="71" t="str">
        <f>'УзлыРесы(1)'!V78</f>
        <v>Горы разделения</v>
      </c>
      <c r="C618" s="14" t="s">
        <v>828</v>
      </c>
    </row>
    <row r="619" ht="12.75" customHeight="1">
      <c r="A619" s="71" t="str">
        <f t="shared" si="118"/>
        <v>Одиллита</v>
      </c>
      <c r="B619" s="34" t="str">
        <f>B618</f>
        <v>Горы разделения</v>
      </c>
      <c r="C619" s="14" t="s">
        <v>854</v>
      </c>
    </row>
    <row r="620" ht="12.75" customHeight="1">
      <c r="A620" s="71" t="str">
        <f t="shared" si="118"/>
        <v>Одиллита</v>
      </c>
      <c r="B620" s="71" t="str">
        <f>'УзлыРесы(1)'!V79</f>
        <v>Тропа лезвий</v>
      </c>
      <c r="C620" s="14" t="s">
        <v>963</v>
      </c>
    </row>
    <row r="621" ht="12.75" customHeight="1">
      <c r="A621" s="72" t="str">
        <f t="shared" si="118"/>
        <v>Одиллита</v>
      </c>
      <c r="B621" s="30" t="str">
        <f>B620</f>
        <v>Тропа лезвий</v>
      </c>
      <c r="C621" s="30" t="s">
        <v>964</v>
      </c>
    </row>
    <row r="622" ht="12.75" customHeight="1">
      <c r="A622" s="73" t="str">
        <f>'УзлыРесы(1)'!C22</f>
        <v>Горы вечной зимы</v>
      </c>
      <c r="B622" s="73" t="str">
        <f>'УзлыРесы(1)'!V83</f>
        <v>Гнездо Ноуля Ветра</v>
      </c>
      <c r="C622" s="14" t="s">
        <v>970</v>
      </c>
    </row>
    <row r="623" ht="12.75" customHeight="1">
      <c r="A623" s="73" t="str">
        <f t="shared" ref="A623:B623" si="121">A622</f>
        <v>Горы вечной зимы</v>
      </c>
      <c r="B623" s="34" t="str">
        <f t="shared" si="121"/>
        <v>Гнездо Ноуля Ветра</v>
      </c>
      <c r="C623" s="14" t="s">
        <v>971</v>
      </c>
    </row>
    <row r="624" ht="12.75" customHeight="1">
      <c r="A624" s="73" t="str">
        <f t="shared" ref="A624:A643" si="122">A623</f>
        <v>Горы вечной зимы</v>
      </c>
      <c r="B624" s="73" t="str">
        <f>'УзлыРесы(1)'!V85</f>
        <v>Сад Маслан с Юдзу</v>
      </c>
      <c r="C624" s="34" t="str">
        <f>'УзлыРесы(1)'!X85</f>
        <v>Юдзу</v>
      </c>
    </row>
    <row r="625" ht="12.75" customHeight="1">
      <c r="A625" s="73" t="str">
        <f t="shared" si="122"/>
        <v>Горы вечной зимы</v>
      </c>
      <c r="B625" s="73" t="str">
        <f>'УзлыРесы(1)'!V87</f>
        <v>Горы вечной зимы</v>
      </c>
      <c r="C625" s="14" t="s">
        <v>972</v>
      </c>
    </row>
    <row r="626" ht="12.75" customHeight="1">
      <c r="A626" s="73" t="str">
        <f t="shared" si="122"/>
        <v>Горы вечной зимы</v>
      </c>
      <c r="B626" s="34" t="str">
        <f>B625</f>
        <v>Горы вечной зимы</v>
      </c>
      <c r="C626" s="14" t="s">
        <v>973</v>
      </c>
    </row>
    <row r="627" ht="12.75" customHeight="1">
      <c r="A627" s="73" t="str">
        <f t="shared" si="122"/>
        <v>Горы вечной зимы</v>
      </c>
      <c r="B627" s="73" t="str">
        <f>'УзлыРесы(1)'!V89</f>
        <v>Лес Нефритовых звезд</v>
      </c>
      <c r="C627" s="14" t="s">
        <v>970</v>
      </c>
    </row>
    <row r="628" ht="12.75" customHeight="1">
      <c r="A628" s="73" t="str">
        <f t="shared" si="122"/>
        <v>Горы вечной зимы</v>
      </c>
      <c r="B628" s="34" t="str">
        <f t="shared" ref="B628:B629" si="123">B627</f>
        <v>Лес Нефритовых звезд</v>
      </c>
      <c r="C628" s="14" t="s">
        <v>971</v>
      </c>
    </row>
    <row r="629" ht="12.75" customHeight="1">
      <c r="A629" s="73" t="str">
        <f t="shared" si="122"/>
        <v>Горы вечной зимы</v>
      </c>
      <c r="B629" s="34" t="str">
        <f t="shared" si="123"/>
        <v>Лес Нефритовых звезд</v>
      </c>
      <c r="C629" s="14" t="s">
        <v>974</v>
      </c>
    </row>
    <row r="630" ht="12.75" customHeight="1">
      <c r="A630" s="73" t="str">
        <f t="shared" si="122"/>
        <v>Горы вечной зимы</v>
      </c>
      <c r="B630" s="73" t="str">
        <f>'УзлыРесы(1)'!V90</f>
        <v>Сторожевой пост на гором перевале</v>
      </c>
      <c r="C630" s="14" t="s">
        <v>841</v>
      </c>
    </row>
    <row r="631" ht="12.75" customHeight="1">
      <c r="A631" s="73" t="str">
        <f t="shared" si="122"/>
        <v>Горы вечной зимы</v>
      </c>
      <c r="B631" s="34" t="str">
        <f>B630</f>
        <v>Сторожевой пост на гором перевале</v>
      </c>
      <c r="C631" s="14" t="s">
        <v>744</v>
      </c>
    </row>
    <row r="632" ht="12.75" customHeight="1">
      <c r="A632" s="73" t="str">
        <f t="shared" si="122"/>
        <v>Горы вечной зимы</v>
      </c>
      <c r="B632" s="73" t="str">
        <f>'УзлыРесы(1)'!V91</f>
        <v>Лес Тори</v>
      </c>
      <c r="C632" s="34" t="str">
        <f>'УзлыРесы(1)'!X91</f>
        <v>Орляк</v>
      </c>
    </row>
    <row r="633" ht="12.75" customHeight="1">
      <c r="A633" s="73" t="str">
        <f t="shared" si="122"/>
        <v>Горы вечной зимы</v>
      </c>
      <c r="B633" s="73" t="str">
        <f>'УзлыРесы(1)'!V92</f>
        <v>Рудник Шерехана</v>
      </c>
      <c r="C633" s="14" t="s">
        <v>975</v>
      </c>
    </row>
    <row r="634" ht="12.75" customHeight="1">
      <c r="A634" s="73" t="str">
        <f t="shared" si="122"/>
        <v>Горы вечной зимы</v>
      </c>
      <c r="B634" s="34" t="str">
        <f t="shared" ref="B634:B635" si="124">B633</f>
        <v>Рудник Шерехана</v>
      </c>
      <c r="C634" s="14" t="s">
        <v>749</v>
      </c>
    </row>
    <row r="635" ht="12.75" customHeight="1">
      <c r="A635" s="73" t="str">
        <f t="shared" si="122"/>
        <v>Горы вечной зимы</v>
      </c>
      <c r="B635" s="34" t="str">
        <f t="shared" si="124"/>
        <v>Рудник Шерехана</v>
      </c>
      <c r="C635" s="14" t="s">
        <v>976</v>
      </c>
    </row>
    <row r="636" ht="12.75" customHeight="1">
      <c r="A636" s="73" t="str">
        <f t="shared" si="122"/>
        <v>Горы вечной зимы</v>
      </c>
      <c r="B636" s="73" t="str">
        <f>'УзлыРесы(1)'!V95</f>
        <v>Холм Звиер</v>
      </c>
      <c r="C636" s="14" t="s">
        <v>855</v>
      </c>
    </row>
    <row r="637" ht="12.75" customHeight="1">
      <c r="A637" s="73" t="str">
        <f t="shared" si="122"/>
        <v>Горы вечной зимы</v>
      </c>
      <c r="B637" s="34" t="str">
        <f t="shared" ref="B637:B638" si="125">B636</f>
        <v>Холм Звиер</v>
      </c>
      <c r="C637" s="14" t="s">
        <v>976</v>
      </c>
    </row>
    <row r="638" ht="12.75" customHeight="1">
      <c r="A638" s="73" t="str">
        <f t="shared" si="122"/>
        <v>Горы вечной зимы</v>
      </c>
      <c r="B638" s="34" t="str">
        <f t="shared" si="125"/>
        <v>Холм Звиер</v>
      </c>
      <c r="C638" s="14" t="s">
        <v>782</v>
      </c>
    </row>
    <row r="639" ht="12.75" customHeight="1">
      <c r="A639" s="73" t="str">
        <f t="shared" si="122"/>
        <v>Горы вечной зимы</v>
      </c>
      <c r="B639" s="73" t="str">
        <f>'УзлыРесы(1)'!V96</f>
        <v>Лагерь Балакс</v>
      </c>
      <c r="C639" s="34" t="str">
        <f>'УзлыРесы(1)'!X96</f>
        <v>Раскаленный черный минерал</v>
      </c>
    </row>
    <row r="640" ht="12.75" customHeight="1">
      <c r="A640" s="73" t="str">
        <f t="shared" si="122"/>
        <v>Горы вечной зимы</v>
      </c>
      <c r="B640" s="73" t="str">
        <f>'УзлыРесы(1)'!V98</f>
        <v>Путь последнего паломничества</v>
      </c>
      <c r="C640" s="14" t="s">
        <v>977</v>
      </c>
    </row>
    <row r="641" ht="12.75" customHeight="1">
      <c r="A641" s="73" t="str">
        <f t="shared" si="122"/>
        <v>Горы вечной зимы</v>
      </c>
      <c r="B641" s="34" t="str">
        <f t="shared" ref="B641:B643" si="126">B640</f>
        <v>Путь последнего паломничества</v>
      </c>
      <c r="C641" s="14" t="s">
        <v>978</v>
      </c>
    </row>
    <row r="642" ht="12.75" customHeight="1">
      <c r="A642" s="73" t="str">
        <f t="shared" si="122"/>
        <v>Горы вечной зимы</v>
      </c>
      <c r="B642" s="34" t="str">
        <f t="shared" si="126"/>
        <v>Путь последнего паломничества</v>
      </c>
      <c r="C642" s="14" t="s">
        <v>979</v>
      </c>
    </row>
    <row r="643" ht="12.75" customHeight="1">
      <c r="A643" s="73" t="str">
        <f t="shared" si="122"/>
        <v>Горы вечной зимы</v>
      </c>
      <c r="B643" s="14" t="str">
        <f t="shared" si="126"/>
        <v>Путь последнего паломничества</v>
      </c>
      <c r="C643" s="14" t="s">
        <v>980</v>
      </c>
    </row>
    <row r="644" ht="12.75" customHeight="1">
      <c r="A644" s="74" t="str">
        <f>'УзлыРесы(1)'!C49</f>
        <v>Страна Утра</v>
      </c>
      <c r="B644" s="75" t="str">
        <f>'УзлыРесы(1)'!B49</f>
        <v>Рисовая деревня</v>
      </c>
      <c r="C644" s="76" t="s">
        <v>981</v>
      </c>
    </row>
    <row r="645" ht="12.75" customHeight="1">
      <c r="A645" s="77" t="str">
        <f t="shared" ref="A645:B645" si="127">A644</f>
        <v>Страна Утра</v>
      </c>
      <c r="B645" s="34" t="str">
        <f t="shared" si="127"/>
        <v>Рисовая деревня</v>
      </c>
      <c r="C645" s="78" t="s">
        <v>982</v>
      </c>
    </row>
    <row r="646" ht="12.75" customHeight="1">
      <c r="A646" s="77" t="str">
        <f t="shared" ref="A646:B646" si="128">A645</f>
        <v>Страна Утра</v>
      </c>
      <c r="B646" s="34" t="str">
        <f t="shared" si="128"/>
        <v>Рисовая деревня</v>
      </c>
      <c r="C646" s="78" t="s">
        <v>983</v>
      </c>
    </row>
    <row r="647" ht="12.75" customHeight="1">
      <c r="A647" s="77" t="str">
        <f t="shared" ref="A647:B647" si="129">A646</f>
        <v>Страна Утра</v>
      </c>
      <c r="B647" s="34" t="str">
        <f t="shared" si="129"/>
        <v>Рисовая деревня</v>
      </c>
      <c r="C647" s="78" t="s">
        <v>984</v>
      </c>
    </row>
    <row r="648" ht="12.75" customHeight="1">
      <c r="A648" s="77" t="str">
        <f t="shared" ref="A648:B648" si="130">A647</f>
        <v>Страна Утра</v>
      </c>
      <c r="B648" s="34" t="str">
        <f t="shared" si="130"/>
        <v>Рисовая деревня</v>
      </c>
      <c r="C648" s="78" t="s">
        <v>985</v>
      </c>
    </row>
    <row r="649" ht="12.75" customHeight="1">
      <c r="A649" s="77" t="str">
        <f t="shared" ref="A649:A689" si="131">A648</f>
        <v>Страна Утра</v>
      </c>
      <c r="B649" s="34" t="str">
        <f>'УзлыРесы(1)'!V99</f>
        <v>Деравня мечников</v>
      </c>
      <c r="C649" s="78" t="s">
        <v>986</v>
      </c>
    </row>
    <row r="650" ht="12.75" customHeight="1">
      <c r="A650" s="77" t="str">
        <f t="shared" si="131"/>
        <v>Страна Утра</v>
      </c>
      <c r="B650" s="34" t="str">
        <f>B649</f>
        <v>Деравня мечников</v>
      </c>
      <c r="C650" s="78" t="s">
        <v>987</v>
      </c>
    </row>
    <row r="651" ht="12.75" customHeight="1">
      <c r="A651" s="77" t="str">
        <f t="shared" si="131"/>
        <v>Страна Утра</v>
      </c>
      <c r="B651" s="34" t="str">
        <f>'УзлыРесы(1)'!V101</f>
        <v>Сосновый лес</v>
      </c>
      <c r="C651" s="78" t="str">
        <f>'УзлыРесы(1)'!X101</f>
        <v>Орляк</v>
      </c>
    </row>
    <row r="652" ht="12.75" customHeight="1">
      <c r="A652" s="77" t="str">
        <f t="shared" si="131"/>
        <v>Страна Утра</v>
      </c>
      <c r="B652" s="34" t="str">
        <f>'УзлыРесы(1)'!V103</f>
        <v>Лес Токкэби</v>
      </c>
      <c r="C652" s="78" t="s">
        <v>748</v>
      </c>
    </row>
    <row r="653" ht="12.75" customHeight="1">
      <c r="A653" s="77" t="str">
        <f t="shared" si="131"/>
        <v>Страна Утра</v>
      </c>
      <c r="B653" s="34" t="str">
        <f t="shared" ref="B653:B658" si="132">B652</f>
        <v>Лес Токкэби</v>
      </c>
      <c r="C653" s="78" t="s">
        <v>749</v>
      </c>
    </row>
    <row r="654" ht="12.75" customHeight="1">
      <c r="A654" s="77" t="str">
        <f t="shared" si="131"/>
        <v>Страна Утра</v>
      </c>
      <c r="B654" s="34" t="str">
        <f t="shared" si="132"/>
        <v>Лес Токкэби</v>
      </c>
      <c r="C654" s="78" t="s">
        <v>742</v>
      </c>
    </row>
    <row r="655" ht="12.75" customHeight="1">
      <c r="A655" s="77" t="str">
        <f t="shared" si="131"/>
        <v>Страна Утра</v>
      </c>
      <c r="B655" s="34" t="str">
        <f t="shared" si="132"/>
        <v>Лес Токкэби</v>
      </c>
      <c r="C655" s="78" t="s">
        <v>988</v>
      </c>
    </row>
    <row r="656" ht="12.75" customHeight="1">
      <c r="A656" s="77" t="str">
        <f t="shared" si="131"/>
        <v>Страна Утра</v>
      </c>
      <c r="B656" s="34" t="str">
        <f t="shared" si="132"/>
        <v>Лес Токкэби</v>
      </c>
      <c r="C656" s="78" t="s">
        <v>989</v>
      </c>
    </row>
    <row r="657" ht="12.75" customHeight="1">
      <c r="A657" s="77" t="str">
        <f t="shared" si="131"/>
        <v>Страна Утра</v>
      </c>
      <c r="B657" s="34" t="str">
        <f t="shared" si="132"/>
        <v>Лес Токкэби</v>
      </c>
      <c r="C657" s="78" t="s">
        <v>990</v>
      </c>
    </row>
    <row r="658" ht="12.75" customHeight="1">
      <c r="A658" s="77" t="str">
        <f t="shared" si="131"/>
        <v>Страна Утра</v>
      </c>
      <c r="B658" s="34" t="str">
        <f t="shared" si="132"/>
        <v>Лес Токкэби</v>
      </c>
      <c r="C658" s="78" t="s">
        <v>991</v>
      </c>
    </row>
    <row r="659" ht="12.75" customHeight="1">
      <c r="A659" s="77" t="str">
        <f t="shared" si="131"/>
        <v>Страна Утра</v>
      </c>
      <c r="B659" s="34" t="str">
        <f>'УзлыРесы(1)'!V104</f>
        <v>Пещера золотой свиньи</v>
      </c>
      <c r="C659" s="78" t="s">
        <v>992</v>
      </c>
    </row>
    <row r="660" ht="12.75" customHeight="1">
      <c r="A660" s="77" t="str">
        <f t="shared" si="131"/>
        <v>Страна Утра</v>
      </c>
      <c r="B660" s="34" t="str">
        <f t="shared" ref="B660:B662" si="133">B659</f>
        <v>Пещера золотой свиньи</v>
      </c>
      <c r="C660" s="78" t="s">
        <v>993</v>
      </c>
    </row>
    <row r="661" ht="12.75" customHeight="1">
      <c r="A661" s="77" t="str">
        <f t="shared" si="131"/>
        <v>Страна Утра</v>
      </c>
      <c r="B661" s="34" t="str">
        <f t="shared" si="133"/>
        <v>Пещера золотой свиньи</v>
      </c>
      <c r="C661" s="78" t="s">
        <v>813</v>
      </c>
    </row>
    <row r="662" ht="12.75" customHeight="1">
      <c r="A662" s="77" t="str">
        <f t="shared" si="131"/>
        <v>Страна Утра</v>
      </c>
      <c r="B662" s="34" t="str">
        <f t="shared" si="133"/>
        <v>Пещера золотой свиньи</v>
      </c>
      <c r="C662" s="78" t="s">
        <v>988</v>
      </c>
    </row>
    <row r="663" ht="12.75" customHeight="1">
      <c r="A663" s="77" t="str">
        <f t="shared" si="131"/>
        <v>Страна Утра</v>
      </c>
      <c r="B663" s="34" t="str">
        <f>'УзлыРесы(1)'!V105</f>
        <v>Плато Коун</v>
      </c>
      <c r="C663" s="78" t="str">
        <f>'УзлыРесы(1)'!X105</f>
        <v>Тростник</v>
      </c>
    </row>
    <row r="664" ht="12.75" customHeight="1">
      <c r="A664" s="77" t="str">
        <f t="shared" si="131"/>
        <v>Страна Утра</v>
      </c>
      <c r="B664" s="34" t="str">
        <f>'УзлыРесы(1)'!V107</f>
        <v>Весенний край</v>
      </c>
      <c r="C664" s="78" t="s">
        <v>796</v>
      </c>
    </row>
    <row r="665" ht="12.75" customHeight="1">
      <c r="A665" s="77" t="str">
        <f t="shared" si="131"/>
        <v>Страна Утра</v>
      </c>
      <c r="B665" s="34" t="str">
        <f t="shared" ref="B665:B666" si="134">B664</f>
        <v>Весенний край</v>
      </c>
      <c r="C665" s="78" t="s">
        <v>865</v>
      </c>
    </row>
    <row r="666" ht="12.75" customHeight="1">
      <c r="A666" s="77" t="str">
        <f t="shared" si="131"/>
        <v>Страна Утра</v>
      </c>
      <c r="B666" s="34" t="str">
        <f t="shared" si="134"/>
        <v>Весенний край</v>
      </c>
      <c r="C666" s="78" t="s">
        <v>620</v>
      </c>
    </row>
    <row r="667" ht="12.75" customHeight="1">
      <c r="A667" s="77" t="str">
        <f t="shared" si="131"/>
        <v>Страна Утра</v>
      </c>
      <c r="B667" s="34" t="str">
        <f>'УзлыРесы(1)'!V108</f>
        <v>Застава красных разбойников</v>
      </c>
      <c r="C667" s="78" t="s">
        <v>796</v>
      </c>
    </row>
    <row r="668" ht="12.75" customHeight="1">
      <c r="A668" s="77" t="str">
        <f t="shared" si="131"/>
        <v>Страна Утра</v>
      </c>
      <c r="B668" s="34" t="str">
        <f t="shared" ref="B668:B669" si="135">B667</f>
        <v>Застава красных разбойников</v>
      </c>
      <c r="C668" s="78" t="s">
        <v>865</v>
      </c>
    </row>
    <row r="669" ht="12.75" customHeight="1">
      <c r="A669" s="77" t="str">
        <f t="shared" si="131"/>
        <v>Страна Утра</v>
      </c>
      <c r="B669" s="34" t="str">
        <f t="shared" si="135"/>
        <v>Застава красных разбойников</v>
      </c>
      <c r="C669" s="78" t="s">
        <v>620</v>
      </c>
    </row>
    <row r="670" ht="12.75" customHeight="1">
      <c r="A670" s="77" t="str">
        <f t="shared" si="131"/>
        <v>Страна Утра</v>
      </c>
      <c r="B670" s="34" t="str">
        <f>'УзлыРесы(1)'!V109</f>
        <v>Лисий перевал</v>
      </c>
      <c r="C670" s="78" t="s">
        <v>986</v>
      </c>
    </row>
    <row r="671" ht="12.75" customHeight="1">
      <c r="A671" s="77" t="str">
        <f t="shared" si="131"/>
        <v>Страна Утра</v>
      </c>
      <c r="B671" s="34" t="str">
        <f>B670</f>
        <v>Лисий перевал</v>
      </c>
      <c r="C671" s="78" t="s">
        <v>994</v>
      </c>
    </row>
    <row r="672" ht="12.75" customHeight="1">
      <c r="A672" s="77" t="str">
        <f t="shared" si="131"/>
        <v>Страна Утра</v>
      </c>
      <c r="B672" s="34" t="str">
        <f>'УзлыРесы(1)'!V110</f>
        <v>Лес Пари</v>
      </c>
      <c r="C672" s="78" t="s">
        <v>845</v>
      </c>
    </row>
    <row r="673" ht="12.75" customHeight="1">
      <c r="A673" s="77" t="str">
        <f t="shared" si="131"/>
        <v>Страна Утра</v>
      </c>
      <c r="B673" s="34" t="str">
        <f t="shared" ref="B673:B674" si="136">B672</f>
        <v>Лес Пари</v>
      </c>
      <c r="C673" s="78" t="s">
        <v>730</v>
      </c>
    </row>
    <row r="674" ht="12.75" customHeight="1">
      <c r="A674" s="77" t="str">
        <f t="shared" si="131"/>
        <v>Страна Утра</v>
      </c>
      <c r="B674" s="34" t="str">
        <f t="shared" si="136"/>
        <v>Лес Пари</v>
      </c>
      <c r="C674" s="78" t="s">
        <v>995</v>
      </c>
    </row>
    <row r="675" ht="12.75" customHeight="1">
      <c r="A675" s="77" t="str">
        <f t="shared" si="131"/>
        <v>Страна Утра</v>
      </c>
      <c r="B675" s="34" t="str">
        <f>'УзлыРесы(1)'!V111</f>
        <v>Тигриное нагорье</v>
      </c>
      <c r="C675" s="78" t="s">
        <v>743</v>
      </c>
    </row>
    <row r="676" ht="12.75" customHeight="1">
      <c r="A676" s="77" t="str">
        <f t="shared" si="131"/>
        <v>Страна Утра</v>
      </c>
      <c r="B676" s="34" t="str">
        <f t="shared" ref="B676:B681" si="137">B675</f>
        <v>Тигриное нагорье</v>
      </c>
      <c r="C676" s="78" t="s">
        <v>996</v>
      </c>
    </row>
    <row r="677" ht="12.75" customHeight="1">
      <c r="A677" s="77" t="str">
        <f t="shared" si="131"/>
        <v>Страна Утра</v>
      </c>
      <c r="B677" s="34" t="str">
        <f t="shared" si="137"/>
        <v>Тигриное нагорье</v>
      </c>
      <c r="C677" s="78" t="s">
        <v>891</v>
      </c>
    </row>
    <row r="678" ht="12.75" customHeight="1">
      <c r="A678" s="77" t="str">
        <f t="shared" si="131"/>
        <v>Страна Утра</v>
      </c>
      <c r="B678" s="34" t="str">
        <f t="shared" si="137"/>
        <v>Тигриное нагорье</v>
      </c>
      <c r="C678" s="78" t="s">
        <v>995</v>
      </c>
    </row>
    <row r="679" ht="12.75" customHeight="1">
      <c r="A679" s="77" t="str">
        <f t="shared" si="131"/>
        <v>Страна Утра</v>
      </c>
      <c r="B679" s="34" t="str">
        <f t="shared" si="137"/>
        <v>Тигриное нагорье</v>
      </c>
      <c r="C679" s="78" t="s">
        <v>997</v>
      </c>
    </row>
    <row r="680" ht="12.75" customHeight="1">
      <c r="A680" s="77" t="str">
        <f t="shared" si="131"/>
        <v>Страна Утра</v>
      </c>
      <c r="B680" s="34" t="str">
        <f t="shared" si="137"/>
        <v>Тигриное нагорье</v>
      </c>
      <c r="C680" s="78" t="s">
        <v>748</v>
      </c>
    </row>
    <row r="681" ht="12.75" customHeight="1">
      <c r="A681" s="77" t="str">
        <f t="shared" si="131"/>
        <v>Страна Утра</v>
      </c>
      <c r="B681" s="34" t="str">
        <f t="shared" si="137"/>
        <v>Тигриное нагорье</v>
      </c>
      <c r="C681" s="78" t="s">
        <v>988</v>
      </c>
    </row>
    <row r="682" ht="12.75" customHeight="1">
      <c r="A682" s="77" t="str">
        <f t="shared" si="131"/>
        <v>Страна Утра</v>
      </c>
      <c r="B682" s="34" t="str">
        <f>'УзлыРесы(1)'!V112</f>
        <v>Остров Хеммо</v>
      </c>
      <c r="C682" s="78" t="s">
        <v>922</v>
      </c>
    </row>
    <row r="683" ht="12.75" customHeight="1">
      <c r="A683" s="77" t="str">
        <f t="shared" si="131"/>
        <v>Страна Утра</v>
      </c>
      <c r="B683" s="34" t="str">
        <f>B682</f>
        <v>Остров Хеммо</v>
      </c>
      <c r="C683" s="78" t="s">
        <v>988</v>
      </c>
    </row>
    <row r="684" ht="12.75" customHeight="1">
      <c r="A684" s="14" t="str">
        <f t="shared" si="131"/>
        <v>Страна Утра</v>
      </c>
      <c r="B684" s="34" t="str">
        <f>'УзлыРесы(1)'!V114</f>
        <v>Пристань Таллэ (Шахта пристани Таллэ)</v>
      </c>
      <c r="C684" s="79" t="s">
        <v>998</v>
      </c>
    </row>
    <row r="685" ht="12.75" customHeight="1">
      <c r="A685" s="77" t="str">
        <f t="shared" si="131"/>
        <v>Страна Утра</v>
      </c>
      <c r="B685" s="34" t="str">
        <f t="shared" ref="B685:B689" si="138">B684</f>
        <v>Пристань Таллэ (Шахта пристани Таллэ)</v>
      </c>
      <c r="C685" s="80" t="s">
        <v>999</v>
      </c>
    </row>
    <row r="686" ht="12.75" customHeight="1">
      <c r="A686" s="77" t="str">
        <f t="shared" si="131"/>
        <v>Страна Утра</v>
      </c>
      <c r="B686" s="34" t="str">
        <f t="shared" si="138"/>
        <v>Пристань Таллэ (Шахта пристани Таллэ)</v>
      </c>
      <c r="C686" s="80" t="s">
        <v>1000</v>
      </c>
    </row>
    <row r="687" ht="12.75" customHeight="1">
      <c r="A687" s="77" t="str">
        <f t="shared" si="131"/>
        <v>Страна Утра</v>
      </c>
      <c r="B687" s="34" t="str">
        <f t="shared" si="138"/>
        <v>Пристань Таллэ (Шахта пристани Таллэ)</v>
      </c>
      <c r="C687" s="80" t="s">
        <v>1001</v>
      </c>
    </row>
    <row r="688" ht="12.75" customHeight="1">
      <c r="A688" s="77" t="str">
        <f t="shared" si="131"/>
        <v>Страна Утра</v>
      </c>
      <c r="B688" s="34" t="str">
        <f t="shared" si="138"/>
        <v>Пристань Таллэ (Шахта пристани Таллэ)</v>
      </c>
      <c r="C688" s="80" t="s">
        <v>733</v>
      </c>
    </row>
    <row r="689" ht="12.75" customHeight="1">
      <c r="A689" s="81" t="str">
        <f t="shared" si="131"/>
        <v>Страна Утра</v>
      </c>
      <c r="B689" s="82" t="str">
        <f t="shared" si="138"/>
        <v>Пристань Таллэ (Шахта пристани Таллэ)</v>
      </c>
      <c r="C689" s="83" t="s">
        <v>988</v>
      </c>
    </row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autoFilter ref="$A$3:$C$689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82.29"/>
    <col customWidth="1" min="3" max="3" width="3.71"/>
    <col customWidth="1" min="4" max="4" width="32.57"/>
    <col customWidth="1" min="5" max="5" width="85.0"/>
    <col customWidth="1" min="6" max="26" width="8.71"/>
  </cols>
  <sheetData>
    <row r="1" ht="12.75" customHeight="1">
      <c r="A1" s="70" t="s">
        <v>717</v>
      </c>
      <c r="B1" s="5"/>
      <c r="C1" s="84"/>
      <c r="D1" s="5"/>
      <c r="E1" s="5"/>
    </row>
    <row r="2" ht="12.75" customHeight="1">
      <c r="A2" s="5"/>
      <c r="B2" s="5"/>
      <c r="C2" s="84"/>
      <c r="D2" s="5"/>
      <c r="E2" s="5"/>
    </row>
    <row r="3" ht="12.75" customHeight="1">
      <c r="A3" s="5" t="s">
        <v>1002</v>
      </c>
      <c r="B3" s="5" t="s">
        <v>719</v>
      </c>
      <c r="C3" s="85"/>
      <c r="D3" s="5" t="s">
        <v>1003</v>
      </c>
      <c r="E3" s="5" t="s">
        <v>719</v>
      </c>
    </row>
    <row r="4" ht="12.75" customHeight="1">
      <c r="A4" s="13" t="str">
        <f>'УзлыРесы(1)'!B13</f>
        <v>Велия</v>
      </c>
      <c r="B4" s="34" t="str">
        <f>'УзлыРесы(1)'!D13</f>
        <v>Золотые слитки, серебро</v>
      </c>
      <c r="C4" s="86"/>
      <c r="D4" s="18" t="str">
        <f>'УзлыРесы(1)'!B14</f>
        <v>Хидель</v>
      </c>
      <c r="E4" s="34" t="str">
        <f>'УзлыРесы(1)'!D14</f>
        <v>Золотые слитки, серебро</v>
      </c>
    </row>
    <row r="5" ht="12.75" customHeight="1">
      <c r="A5" s="13" t="str">
        <f>'УзлыРесы(1)'!B28</f>
        <v>Город Оливия</v>
      </c>
      <c r="B5" s="34" t="str">
        <f>'УзлыРесы(1)'!D28</f>
        <v>Ящик с древесиной из Баленоса</v>
      </c>
      <c r="C5" s="86"/>
      <c r="D5" s="18" t="str">
        <f>'УзлыРесы(1)'!B29</f>
        <v>Город Глиши</v>
      </c>
      <c r="E5" s="34" t="str">
        <f>'УзлыРесы(1)'!D29</f>
        <v>Ящик с отборным Подберёзовиком + золотые слитки, серебро</v>
      </c>
    </row>
    <row r="6" ht="12.75" customHeight="1">
      <c r="A6" s="13" t="str">
        <f>'УзлыРесы(1)'!B37</f>
        <v>Остров Илия</v>
      </c>
      <c r="B6" s="34" t="str">
        <f>'УзлыРесы(1)'!D37</f>
        <v>Амулет Илии</v>
      </c>
      <c r="C6" s="86"/>
      <c r="D6" s="18" t="str">
        <f>'УзлыРесы(1)'!G3</f>
        <v>Ферма Алехандро</v>
      </c>
      <c r="E6" s="34" t="str">
        <f>'УзлыРесы(1)'!I3</f>
        <v>Тыква. Мёд. Особый мёд Алехандро</v>
      </c>
    </row>
    <row r="7" ht="12.75" customHeight="1">
      <c r="A7" s="13" t="str">
        <f>'УзлыРесы(1)'!G2</f>
        <v>Ферма Бартелли</v>
      </c>
      <c r="B7" s="34" t="str">
        <f>'УзлыРесы(1)'!I2</f>
        <v>Картофель. Курица, яйцо. Жареная курица</v>
      </c>
      <c r="C7" s="86"/>
      <c r="D7" s="18" t="str">
        <f>'УзлыРесы(1)'!L26</f>
        <v>Ферма Коста</v>
      </c>
      <c r="E7" s="34" t="str">
        <f>'УзлыРесы(1)'!N26</f>
        <v>Пшеница. Тыква. Лён, льняная нить. Ящик с отборной тыквой</v>
      </c>
    </row>
    <row r="8" ht="12.75" customHeight="1">
      <c r="A8" s="13" t="str">
        <f>'УзлыРесы(1)'!L2</f>
        <v>Ферма Пинто</v>
      </c>
      <c r="B8" s="34" t="str">
        <f>'УзлыРесы(1)'!N2</f>
        <v>Картофель. Курица, яйцо. Яблочный джем Пинто</v>
      </c>
      <c r="C8" s="86"/>
      <c r="D8" s="18" t="str">
        <f>'УзлыРесы(1)'!L27</f>
        <v>Плантация Моретти</v>
      </c>
      <c r="E8" s="34" t="str">
        <f>'УзлыРесы(1)'!N27</f>
        <v>Пшеница. Лён, льняная нить. Ящик с отборной пшеницей</v>
      </c>
    </row>
    <row r="9" ht="12.75" customHeight="1">
      <c r="A9" s="13" t="str">
        <f>'УзлыРесы(1)'!L5</f>
        <v>Ферма Лоджи</v>
      </c>
      <c r="B9" s="34" t="str">
        <f>'УзлыРесы(1)'!N5</f>
        <v>Картофель. Ящик с отборным картофелем</v>
      </c>
      <c r="C9" s="86"/>
      <c r="D9" s="18" t="str">
        <f>'УзлыРесы(1)'!L29</f>
        <v>Ранчо Линчей</v>
      </c>
      <c r="E9" s="34" t="str">
        <f>'УзлыРесы(1)'!N29</f>
        <v>Шерсть, шерстяная нить</v>
      </c>
    </row>
    <row r="10" ht="12.75" customHeight="1">
      <c r="A10" s="13" t="str">
        <f>'УзлыРесы(1)'!L6</f>
        <v>Ферма Марино</v>
      </c>
      <c r="B10" s="34" t="str">
        <f>'УзлыРесы(1)'!N6</f>
        <v>Талисман счастья из прозрачного хрусталя</v>
      </c>
      <c r="C10" s="86"/>
      <c r="D10" s="18" t="str">
        <f>'УзлыРесы(1)'!L34</f>
        <v>Северные болота</v>
      </c>
      <c r="E10" s="34" t="str">
        <f>'УзлыРесы(1)'!N34</f>
        <v>Головач, большой головач. Ящик с отборным головачом</v>
      </c>
    </row>
    <row r="11" ht="12.75" customHeight="1">
      <c r="A11" s="13" t="str">
        <f>'УзлыРесы(1)'!L10</f>
        <v>Лес Баленоса</v>
      </c>
      <c r="B11" s="34" t="str">
        <f>'УзлыРесы(1)'!N10</f>
        <v>Календула, Пучок календулы. Древесина ясеня, волшебный листок</v>
      </c>
      <c r="C11" s="86"/>
      <c r="D11" s="18" t="str">
        <f>'УзлыРесы(1)'!G14</f>
        <v>Руины замка</v>
      </c>
      <c r="E11" s="34" t="str">
        <f>'УзлыРесы(1)'!I14</f>
        <v>Древесина, сок клёна</v>
      </c>
    </row>
    <row r="12" ht="12.75" customHeight="1">
      <c r="A12" s="13" t="str">
        <f>'УзлыРесы(1)'!L11</f>
        <v>Ферма Тоскани</v>
      </c>
      <c r="B12" s="34" t="str">
        <f>'УзлыРесы(1)'!N11</f>
        <v>Кукуруза. Ящик с отборной кукурузой</v>
      </c>
      <c r="C12" s="86"/>
      <c r="D12" s="18" t="str">
        <f>'УзлыРесы(1)'!G16</f>
        <v>Святилище Серендии</v>
      </c>
      <c r="E12" s="34" t="str">
        <f>'УзлыРесы(1)'!I16</f>
        <v>Древесина соcны, ветвь монарха</v>
      </c>
    </row>
    <row r="13" ht="12.75" customHeight="1">
      <c r="A13" s="19" t="str">
        <f>'УзлыРесы(1)'!L79</f>
        <v>Остров Расиды (скрытый)</v>
      </c>
      <c r="B13" s="34" t="str">
        <f>'УзлыРесы(1)'!N79</f>
        <v>Чертеж парус Чиро, звездный порошок, железная руда</v>
      </c>
      <c r="C13" s="86"/>
      <c r="D13" s="18" t="str">
        <f>'УзлыРесы(1)'!L28</f>
        <v>Шахта Хиделя</v>
      </c>
      <c r="E13" s="34" t="str">
        <f>'УзлыРесы(1)'!N28</f>
        <v>Железная руда, пыль тьмы. Медная руда, пыль огня</v>
      </c>
    </row>
    <row r="14" ht="12.75" customHeight="1">
      <c r="A14" s="13" t="str">
        <f>'УзлыРесы(1)'!L89</f>
        <v>Остров Рувиано</v>
      </c>
      <c r="B14" s="34" t="str">
        <f>'УзлыРесы(1)'!N89</f>
        <v>Сушеная корифена/дитрем/плотос/бонит</v>
      </c>
      <c r="C14" s="86"/>
      <c r="D14" s="18" t="str">
        <f>'УзлыРесы(1)'!L30</f>
        <v>Северная равнина Серендии</v>
      </c>
      <c r="E14" s="34" t="str">
        <f>'УзлыРесы(1)'!N30</f>
        <v>Азалия. Древесина клёна, красная почка</v>
      </c>
    </row>
    <row r="15" ht="12.75" customHeight="1">
      <c r="A15" s="13" t="str">
        <f>'УзлыРесы(1)'!L101</f>
        <v>Остров Руруба</v>
      </c>
      <c r="B15" s="34" t="str">
        <f>'УзлыРесы(1)'!N101</f>
        <v>Сушеный плотос/рыба-клоун/тамарин/тунец</v>
      </c>
      <c r="C15" s="86"/>
      <c r="D15" s="18" t="str">
        <f>'УзлыРесы(1)'!L31</f>
        <v>Болота Глиши</v>
      </c>
      <c r="E15" s="34" t="str">
        <f>'УзлыРесы(1)'!N31</f>
        <v>Подберёзовик, большой Подберёзовик. Свинцовая руда, пыль веков</v>
      </c>
    </row>
    <row r="16" ht="12.75" customHeight="1">
      <c r="A16" s="13" t="str">
        <f>'УзлыРесы(1)'!G12</f>
        <v>Пещера гоблинов</v>
      </c>
      <c r="B16" s="34" t="str">
        <f>'УзлыРесы(1)'!I12</f>
        <v>Древесина ясеня, волшебный листок. Медная руда, грубый прозрачный хрусталь</v>
      </c>
      <c r="C16" s="86"/>
      <c r="D16" s="18" t="str">
        <f>'УзлыРесы(1)'!L32</f>
        <v>Южное болото</v>
      </c>
      <c r="E16" s="34" t="str">
        <f>'УзлыРесы(1)'!N32</f>
        <v>Железная руда, грубый черный хрусталь. Подберёзовик, большой Подберёзовик. Тайное послание</v>
      </c>
    </row>
    <row r="17" ht="12.75" customHeight="1">
      <c r="A17" s="13" t="str">
        <f>'УзлыРесы(1)'!G13</f>
        <v>Роща отшельников</v>
      </c>
      <c r="B17" s="34" t="str">
        <f>'УзлыРесы(1)'!I13</f>
        <v>Древесина клёна, ветвь монарха. Медная руда, пыль огня</v>
      </c>
      <c r="C17" s="86"/>
      <c r="D17" s="18" t="str">
        <f>'УзлыРесы(1)'!L33</f>
        <v>Руины Глиши</v>
      </c>
      <c r="E17" s="34" t="str">
        <f>'УзлыРесы(1)'!N33</f>
        <v>Чёрная земля, острый обломок шлема, затупленный осколок, порошок изначальности /охотников</v>
      </c>
    </row>
    <row r="18" ht="12.75" customHeight="1">
      <c r="A18" s="19" t="str">
        <f>'УзлыРесы(1)'!L3</f>
        <v>Каменный зал древних (скрытый)</v>
      </c>
      <c r="B18" s="34" t="str">
        <f>'УзлыРесы(1)'!N3</f>
        <v>Увядшие листья, треснувший коготь, порошок земли, порошок починки</v>
      </c>
      <c r="C18" s="86"/>
      <c r="D18" s="42" t="str">
        <f>'УзлыРесы(1)'!L35</f>
        <v>Руины фермы Линчей (скрытый)</v>
      </c>
      <c r="E18" s="34" t="str">
        <f>'УзлыРесы(1)'!N35</f>
        <v>Азалия. Сломаный рог, колесо телеги, тканьжилища бесов. Порошок варваров / охотников</v>
      </c>
    </row>
    <row r="19" ht="12.75" customHeight="1">
      <c r="A19" s="13" t="str">
        <f>'УзлыРесы(1)'!L4</f>
        <v>Пещера бесов</v>
      </c>
      <c r="B19" s="34" t="str">
        <f>'УзлыРесы(1)'!N4</f>
        <v>Медная руда, пыль огня</v>
      </c>
      <c r="C19" s="86"/>
      <c r="E19" s="5">
        <v>15.0</v>
      </c>
    </row>
    <row r="20" ht="12.75" customHeight="1">
      <c r="A20" s="13" t="str">
        <f>'УзлыРесы(1)'!L7</f>
        <v>Руины замка Крон</v>
      </c>
      <c r="B20" s="34" t="str">
        <f>'УзлыРесы(1)'!N7</f>
        <v>Календула, пучок клендулы</v>
      </c>
      <c r="C20" s="86"/>
    </row>
    <row r="21" ht="12.75" customHeight="1">
      <c r="A21" s="13" t="str">
        <f>'УзлыРесы(1)'!L8</f>
        <v>Холм Эхваз</v>
      </c>
      <c r="B21" s="34" t="str">
        <f>'УзлыРесы(1)'!N8</f>
        <v>Древесина, сок ясеня. Подосиновик, большой подосиновик</v>
      </c>
      <c r="C21" s="86"/>
    </row>
    <row r="22" ht="12.75" customHeight="1">
      <c r="A22" s="13" t="str">
        <f>'УзлыРесы(1)'!L9</f>
        <v>Лес разбойников</v>
      </c>
      <c r="B22" s="34" t="str">
        <f>'УзлыРесы(1)'!N9</f>
        <v>Боровик, большой боровик</v>
      </c>
      <c r="C22" s="86"/>
    </row>
    <row r="23" ht="12.75" customHeight="1">
      <c r="A23" s="13" t="str">
        <f>'УзлыРесы(1)'!L12</f>
        <v>Прибрежная пещера</v>
      </c>
      <c r="B23" s="34" t="str">
        <f>'УзлыРесы(1)'!N12</f>
        <v>Железная руда, пыль тьмы. Медная руда, пыль огня</v>
      </c>
      <c r="C23" s="86"/>
    </row>
    <row r="24" ht="12.75" customHeight="1">
      <c r="A24" s="13" t="str">
        <f>'УзлыРесы(1)'!L14</f>
        <v>Прибрежные скалы</v>
      </c>
      <c r="B24" s="34" t="str">
        <f>'УзлыРесы(1)'!N14</f>
        <v>Железная руда, пыль тьмы. Подосиновик, большой подосиновик</v>
      </c>
      <c r="C24" s="86"/>
    </row>
    <row r="25" ht="12.75" customHeight="1">
      <c r="A25" s="13" t="str">
        <f>'УзлыРесы(1)'!L17</f>
        <v>Ферма Касто</v>
      </c>
      <c r="B25" s="34" t="str">
        <f>'УзлыРесы(1)'!N17</f>
        <v>Виноград, ящик с отборным виноградом</v>
      </c>
      <c r="C25" s="86"/>
    </row>
    <row r="26" ht="12.75" customHeight="1">
      <c r="A26" s="13" t="str">
        <f>'УзлыРесы(1)'!L18</f>
        <v>Ферма Вейла</v>
      </c>
      <c r="B26" s="34" t="str">
        <f>'УзлыРесы(1)'!N18</f>
        <v>Олива, ящик с отборными оливками</v>
      </c>
      <c r="C26" s="86"/>
    </row>
    <row r="27" ht="12.75" customHeight="1">
      <c r="A27" s="13" t="str">
        <f>'УзлыРесы(1)'!L19</f>
        <v>Волчий холм</v>
      </c>
      <c r="B27" s="34" t="str">
        <f>'УзлыРесы(1)'!N19</f>
        <v>Древесина ясеня</v>
      </c>
      <c r="C27" s="86"/>
    </row>
    <row r="28" ht="12.75" customHeight="1">
      <c r="A28" s="13" t="str">
        <f>'УзлыРесы(1)'!L21</f>
        <v>Утес Фудо</v>
      </c>
      <c r="B28" s="34" t="str">
        <f>'УзлыРесы(1)'!N21</f>
        <v>Медная руда</v>
      </c>
      <c r="C28" s="86"/>
    </row>
    <row r="29" ht="12.75" customHeight="1">
      <c r="A29" s="13" t="str">
        <f>'УзлыРесы(1)'!L76</f>
        <v>Остров Фузара</v>
      </c>
      <c r="B29" s="34" t="str">
        <f>'УзлыРесы(1)'!N76</f>
        <v>Сушеный сазан/бонит/рыба-клоун/марлин ! Плотос/корифена/бонит/нитипер</v>
      </c>
      <c r="C29" s="86"/>
    </row>
    <row r="30" ht="12.75" customHeight="1">
      <c r="A30" s="19" t="str">
        <f>'УзлыРесы(1)'!L78</f>
        <v>Остров Альхана (скрытый)</v>
      </c>
      <c r="B30" s="34" t="str">
        <f>'УзлыРесы(1)'!N78</f>
        <v>Чертеж пушка Чиро, звездный порошок, железная руда</v>
      </c>
      <c r="C30" s="86"/>
    </row>
    <row r="31" ht="12.75" customHeight="1">
      <c r="A31" s="13" t="str">
        <f>'УзлыРесы(1)'!L81</f>
        <v>Остров Войта</v>
      </c>
      <c r="B31" s="34" t="str">
        <f>'УзлыРесы(1)'!N81</f>
        <v>Сушеный тернем/дитреция/красноперка/омуль</v>
      </c>
      <c r="C31" s="86"/>
    </row>
    <row r="32" ht="12.75" customHeight="1">
      <c r="A32" s="13" t="str">
        <f>'УзлыРесы(1)'!L87</f>
        <v>Остров Орфс</v>
      </c>
      <c r="B32" s="34" t="str">
        <f>'УзлыРесы(1)'!N87</f>
        <v>Сушеная ставрида/плотос/корифена/барбус ! Сазан/дитрем/рыба-клоун/барбус</v>
      </c>
      <c r="C32" s="86"/>
    </row>
    <row r="33" ht="12.75" customHeight="1">
      <c r="A33" s="13" t="str">
        <f>'УзлыРесы(1)'!L91</f>
        <v>Остров Маривэйно</v>
      </c>
      <c r="B33" s="34" t="str">
        <f>'УзлыРесы(1)'!N91</f>
        <v>Сушеный плотос/тернеция/рыба-клоун/сиган ! Плотос/сазан/бонит/сиган</v>
      </c>
      <c r="C33" s="86"/>
    </row>
    <row r="34" ht="12.75" customHeight="1">
      <c r="A34" s="13" t="str">
        <f>'УзлыРесы(1)'!L92</f>
        <v>Остров Фаратама</v>
      </c>
      <c r="B34" s="34" t="str">
        <f>'УзлыРесы(1)'!N92</f>
        <v>Сушеный плотос/дитрем/язь/омуль</v>
      </c>
      <c r="C34" s="86"/>
    </row>
    <row r="35" ht="12.75" customHeight="1">
      <c r="A35" s="13" t="str">
        <f>'УзлыРесы(1)'!L96</f>
        <v>Остров Инвонен</v>
      </c>
      <c r="B35" s="34" t="str">
        <f>'УзлыРесы(1)'!N96</f>
        <v>Сушеный плотос/ставрила/корифена/морской черт ! Ставрида/корифена/плотос/бонит</v>
      </c>
      <c r="C35" s="86"/>
    </row>
    <row r="36" ht="12.75" customHeight="1">
      <c r="A36" s="13" t="str">
        <f>'УзлыРесы(1)'!L97</f>
        <v>Остров Анджу</v>
      </c>
      <c r="B36" s="34" t="str">
        <f>'УзлыРесы(1)'!N97</f>
        <v>Сушеный плотос/сазан/бонит/тернеция ! Корифена/плотос/тернеция/рыба-клоун</v>
      </c>
      <c r="C36" s="86"/>
    </row>
    <row r="37" ht="12.75" customHeight="1">
      <c r="A37" s="13" t="str">
        <f>'УзлыРесы(1)'!L99</f>
        <v>Остров Эфдэ Рун</v>
      </c>
      <c r="B37" s="34" t="str">
        <f>'УзлыРесы(1)'!N99</f>
        <v>Сушеная корифена/плотос/сазан/бонит</v>
      </c>
      <c r="C37" s="86"/>
    </row>
    <row r="38" ht="12.75" customHeight="1">
      <c r="A38" s="13" t="str">
        <f>'УзлыРесы(1)'!L102</f>
        <v>Остров Старэн</v>
      </c>
      <c r="B38" s="34" t="str">
        <f>'УзлыРесы(1)'!N102</f>
        <v>Сушенный плотос/осетр/тамарин/тунец ! Корифена/сазан/окунь/коилия</v>
      </c>
      <c r="C38" s="86"/>
    </row>
    <row r="39" ht="12.75" customHeight="1">
      <c r="A39" s="13" t="str">
        <f>'УзлыРесы(1)'!L103</f>
        <v>Остров Рисч</v>
      </c>
      <c r="B39" s="34" t="str">
        <f>'УзлыРесы(1)'!N103</f>
        <v>Сушенный плотос/тернеция/тамарин/тунец ! Корифена/сазан/бонит/коилия</v>
      </c>
      <c r="C39" s="86"/>
    </row>
    <row r="40" ht="12.75" customHeight="1">
      <c r="A40" s="19" t="str">
        <f>'УзлыРесы(1)'!Q24</f>
        <v>Остров Веры (скрытый)</v>
      </c>
      <c r="B40" s="34" t="str">
        <f>'УзлыРесы(1)'!S24</f>
        <v>Чертеж фигура Чиро, звездный порошок, железная руда</v>
      </c>
      <c r="C40" s="86"/>
    </row>
    <row r="41" ht="12.75" customHeight="1">
      <c r="A41" s="19" t="str">
        <f>'УзлыРесы(1)'!Q25</f>
        <v>Остров Хошита (скрытый)</v>
      </c>
      <c r="B41" s="34" t="str">
        <f>'УзлыРесы(1)'!S25</f>
        <v>Чертеж черный парус Чиро, звездный порошок, железная руда</v>
      </c>
      <c r="C41" s="86"/>
    </row>
    <row r="42" ht="12.75" customHeight="1">
      <c r="B42" s="5">
        <v>38.0</v>
      </c>
      <c r="C42" s="85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101.86"/>
    <col customWidth="1" min="3" max="3" width="2.86"/>
    <col customWidth="1" min="4" max="4" width="46.71"/>
    <col customWidth="1" min="5" max="5" width="49.0"/>
    <col customWidth="1" min="6" max="26" width="8.71"/>
  </cols>
  <sheetData>
    <row r="1" ht="12.75" customHeight="1">
      <c r="A1" s="70" t="s">
        <v>717</v>
      </c>
      <c r="B1" s="5"/>
      <c r="C1" s="87"/>
      <c r="D1" s="5"/>
      <c r="E1" s="5"/>
    </row>
    <row r="2" ht="12.75" customHeight="1">
      <c r="A2" s="5"/>
      <c r="B2" s="5"/>
      <c r="C2" s="87"/>
      <c r="D2" s="5"/>
      <c r="E2" s="5"/>
    </row>
    <row r="3" ht="12.75" customHeight="1">
      <c r="A3" s="5" t="s">
        <v>1004</v>
      </c>
      <c r="B3" s="5" t="s">
        <v>719</v>
      </c>
      <c r="C3" s="86"/>
      <c r="D3" s="5" t="s">
        <v>1005</v>
      </c>
      <c r="E3" s="5" t="s">
        <v>719</v>
      </c>
    </row>
    <row r="4" ht="12.75" customHeight="1">
      <c r="A4" s="15" t="str">
        <f>'УзлыРесы(1)'!B15</f>
        <v>Кальфеон</v>
      </c>
      <c r="B4" s="34" t="str">
        <f>'УзлыРесы(1)'!D15</f>
        <v>Золотые слитки, серебро</v>
      </c>
      <c r="C4" s="86"/>
      <c r="D4" s="34" t="str">
        <f>'УзлыРесы(1)'!B49</f>
        <v>Рисовая деревня</v>
      </c>
      <c r="E4" s="34" t="str">
        <f>'УзлыРесы(1)'!D49</f>
        <v>Рис / Петсай / Редька / Красная азалия / Розовая азалия</v>
      </c>
    </row>
    <row r="5" ht="12.75" customHeight="1">
      <c r="A5" s="15" t="str">
        <f>'УзлыРесы(1)'!B30</f>
        <v>Кеплан</v>
      </c>
      <c r="B5" s="34" t="str">
        <f>'УзлыРесы(1)'!D30</f>
        <v>Золотые слитки, серебро</v>
      </c>
      <c r="C5" s="86"/>
      <c r="D5" s="34" t="str">
        <f>'УзлыРесы(1)'!V99</f>
        <v>Деравня мечников</v>
      </c>
      <c r="E5" s="34" t="str">
        <f>'УзлыРесы(1)'!X99</f>
        <v>Малина, хурма</v>
      </c>
    </row>
    <row r="6" ht="12.75" customHeight="1">
      <c r="A6" s="15" t="str">
        <f>'УзлыРесы(1)'!B31</f>
        <v>Деревня Флорин</v>
      </c>
      <c r="B6" s="34" t="str">
        <f>'УзлыРесы(1)'!D31</f>
        <v>Ящик трав Флорина + золотые слитки, серебро</v>
      </c>
      <c r="C6" s="86"/>
      <c r="D6" s="34" t="str">
        <f>'УзлыРесы(1)'!V101</f>
        <v>Сосновый лес</v>
      </c>
      <c r="E6" s="34" t="str">
        <f>'УзлыРесы(1)'!X101</f>
        <v>Орляк</v>
      </c>
    </row>
    <row r="7" ht="12.75" customHeight="1">
      <c r="A7" s="15" t="str">
        <f>'УзлыРесы(1)'!B32</f>
        <v>Портовый город Эферия</v>
      </c>
      <c r="B7" s="34" t="str">
        <f>'УзлыРесы(1)'!D32</f>
        <v>Ящик морепродуктов (сиган)</v>
      </c>
      <c r="C7" s="86"/>
      <c r="D7" s="34" t="str">
        <f>'УзлыРесы(1)'!V103</f>
        <v>Лес Токкэби</v>
      </c>
      <c r="E7" s="34" t="str">
        <f>'УзлыРесы(1)'!X103</f>
        <v>Порошок земли / починки, Грубый прозрачный хрусталь, Таинственный порошок, Искра сияющей добродетели, Кристалл леса / гармонии</v>
      </c>
    </row>
    <row r="8" ht="12.75" customHeight="1">
      <c r="A8" s="15" t="str">
        <f>'УзлыРесы(1)'!B33</f>
        <v>Деревня Трент</v>
      </c>
      <c r="B8" s="34" t="str">
        <f>'УзлыРесы(1)'!D33</f>
        <v>Ящик с древесиной из Кальфеона</v>
      </c>
      <c r="C8" s="86"/>
      <c r="D8" s="34" t="str">
        <f>'УзлыРесы(1)'!V104</f>
        <v>Пещера золотой свиньи</v>
      </c>
      <c r="E8" s="34" t="str">
        <f>'УзлыРесы(1)'!X104</f>
        <v>Кристалл тени / ожесточения,  Порошок варваров, Таинственный порошок, </v>
      </c>
    </row>
    <row r="9" ht="12.75" customHeight="1">
      <c r="A9" s="15" t="str">
        <f>'УзлыРесы(1)'!B34</f>
        <v>Медвежья деревня</v>
      </c>
      <c r="B9" s="34" t="str">
        <f>'УзлыРесы(1)'!D34</f>
        <v>Ящик с древесиной из Кальфеона</v>
      </c>
      <c r="C9" s="86"/>
      <c r="D9" s="34" t="str">
        <f>'УзлыРесы(1)'!V105</f>
        <v>Плато Коун</v>
      </c>
      <c r="E9" s="34" t="str">
        <f>'УзлыРесы(1)'!X105</f>
        <v>Тростник</v>
      </c>
    </row>
    <row r="10" ht="12.75" customHeight="1">
      <c r="A10" s="15" t="str">
        <f>'УзлыРесы(1)'!B35</f>
        <v>Северное поле пшеницы</v>
      </c>
      <c r="B10" s="34" t="str">
        <f>'УзлыРесы(1)'!D35</f>
        <v>Перец. Пшеница. Ячмень. Ящик с отборным подсолнухом + золотые слитки, серебро</v>
      </c>
      <c r="C10" s="86"/>
      <c r="D10" s="34" t="str">
        <f>'УзлыРесы(1)'!V107</f>
        <v>Весенний край</v>
      </c>
      <c r="E10" s="34" t="str">
        <f>'УзлыРесы(1)'!X107</f>
        <v>Древеснина / сок сосны, Орляк</v>
      </c>
    </row>
    <row r="11" ht="12.75" customHeight="1">
      <c r="A11" s="15" t="str">
        <f>'УзлыРесы(1)'!L41</f>
        <v>Ферма Диас</v>
      </c>
      <c r="B11" s="34" t="str">
        <f>'УзлыРесы(1)'!N41</f>
        <v>Ящик с отборными помидорами</v>
      </c>
      <c r="C11" s="86"/>
      <c r="D11" s="34" t="str">
        <f>'УзлыРесы(1)'!V108</f>
        <v>Застава красных разбойников</v>
      </c>
      <c r="E11" s="34" t="str">
        <f>'УзлыРесы(1)'!X108</f>
        <v>Древеснина / сок сосны, Орляк</v>
      </c>
    </row>
    <row r="12" ht="12.75" customHeight="1">
      <c r="A12" s="44" t="str">
        <f>'УзлыРесы(1)'!L44</f>
        <v>Ферма Бернито (скрытый)</v>
      </c>
      <c r="B12" s="34" t="str">
        <f>'УзлыРесы(1)'!N44</f>
        <v>Заражёный клык, осколок скульптыры / артефакта, порошок битвы / леса</v>
      </c>
      <c r="C12" s="86"/>
      <c r="D12" s="34" t="str">
        <f>'УзлыРесы(1)'!V109</f>
        <v>Лисий перевал</v>
      </c>
      <c r="E12" s="34" t="str">
        <f>'УзлыРесы(1)'!X109</f>
        <v>Малина, фиалка</v>
      </c>
    </row>
    <row r="13" ht="12.75" customHeight="1">
      <c r="A13" s="15" t="str">
        <f>'УзлыРесы(1)'!L47</f>
        <v>Ранчо Фаарс</v>
      </c>
      <c r="B13" s="34" t="str">
        <f>'УзлыРесы(1)'!N47</f>
        <v>Кукурузный хлеб</v>
      </c>
      <c r="C13" s="86"/>
      <c r="D13" s="34" t="str">
        <f>'УзлыРесы(1)'!V110</f>
        <v>Лес Пари</v>
      </c>
      <c r="E13" s="34" t="str">
        <f>'УзлыРесы(1)'!X110</f>
        <v>Тигровый цветок, древесина кедра, волшебный листок</v>
      </c>
    </row>
    <row r="14" ht="12.75" customHeight="1">
      <c r="A14" s="15" t="str">
        <f>'УзлыРесы(1)'!L49</f>
        <v>Угодья Бейн</v>
      </c>
      <c r="B14" s="34" t="str">
        <f>'УзлыРесы(1)'!N49</f>
        <v>Ящик с отборной кукурузой</v>
      </c>
      <c r="C14" s="86"/>
      <c r="D14" s="34" t="str">
        <f>'УзлыРесы(1)'!V111</f>
        <v>Тигриное нагорье</v>
      </c>
      <c r="E14" s="34" t="str">
        <f>'УзлыРесы(1)'!X111</f>
        <v>Древесина/сок клена, кора старого дерева. Тигровый цветок.Кристалл уничтожения, порошок земли, таинственный порошок</v>
      </c>
    </row>
    <row r="15" ht="12.75" customHeight="1">
      <c r="A15" s="15" t="str">
        <f>'УзлыРесы(1)'!L55</f>
        <v>Ферма Джанни</v>
      </c>
      <c r="B15" s="34" t="str">
        <f>'УзлыРесы(1)'!N55</f>
        <v>Ящик с отборной черноголовкой</v>
      </c>
      <c r="C15" s="86"/>
      <c r="D15" s="34" t="str">
        <f>'УзлыРесы(1)'!V112</f>
        <v>Остров Хеммо</v>
      </c>
      <c r="E15" s="34" t="str">
        <f>'УзлыРесы(1)'!X112</f>
        <v>Порошок памяти, таинственный порошок</v>
      </c>
    </row>
    <row r="16" ht="12.75" customHeight="1">
      <c r="A16" s="15" t="str">
        <f>'УзлыРесы(1)'!L65</f>
        <v>Ферма Габино</v>
      </c>
      <c r="B16" s="34" t="str">
        <f>'УзлыРесы(1)'!N65</f>
        <v>Ящик с отборным подсолнухом</v>
      </c>
      <c r="C16" s="86"/>
      <c r="D16" s="34" t="str">
        <f>'УзлыРесы(1)'!V114</f>
        <v>Пристань Таллэ (Шахта пристани Таллэ)</v>
      </c>
      <c r="E16" s="34" t="str">
        <f>'УзлыРесы(1)'!X114</f>
        <v>Чертеж пушка/парус/фигура/крепкая обшивка Пёкке, Звездный порошое, Таинственный порошок</v>
      </c>
    </row>
    <row r="17" ht="12.75" customHeight="1">
      <c r="A17" s="44" t="str">
        <f>'УзлыРесы(1)'!L66</f>
        <v>Лес Манш (скрытый)</v>
      </c>
      <c r="B17" s="34" t="str">
        <f>'УзлыРесы(1)'!N66</f>
        <v>Древесина, сок кипариса, Старый коготь, шкура медведя, проклятый осколок, порошок пепла / вреда </v>
      </c>
      <c r="C17" s="86"/>
      <c r="E17" s="88">
        <v>13.0</v>
      </c>
    </row>
    <row r="18" ht="12.75" customHeight="1">
      <c r="A18" s="15" t="str">
        <f>'УзлыРесы(1)'!L70</f>
        <v>Лесной сторожевой пост</v>
      </c>
      <c r="B18" s="34" t="str">
        <f>'УзлыРесы(1)'!N70</f>
        <v>Черноголоска, пучок черноголовки. Стрела скаутов</v>
      </c>
      <c r="C18" s="86"/>
    </row>
    <row r="19" ht="12.75" customHeight="1">
      <c r="A19" s="15" t="str">
        <f>'УзлыРесы(1)'!L71</f>
        <v>Хижина Фонеля</v>
      </c>
      <c r="B19" s="34" t="str">
        <f>'УзлыРесы(1)'!N71</f>
        <v>Древесина, сок кипариса.</v>
      </c>
      <c r="C19" s="86"/>
    </row>
    <row r="20" ht="12.75" customHeight="1">
      <c r="A20" s="15" t="str">
        <f>'УзлыРесы(1)'!L105</f>
        <v>Остров Альбрессо</v>
      </c>
      <c r="B20" s="34" t="str">
        <f>'УзлыРесы(1)'!N105</f>
        <v>Сушеный остронос/скат/килька/осминог</v>
      </c>
      <c r="C20" s="86"/>
    </row>
    <row r="21" ht="12.75" customHeight="1">
      <c r="A21" s="15" t="str">
        <f>'УзлыРесы(1)'!Q4</f>
        <v>Остров Дэйтан</v>
      </c>
      <c r="B21" s="34" t="str">
        <f>'УзлыРесы(1)'!S4</f>
        <v>Сушеная ставрида/летучая рыба/налим/судак. БАРТЕР</v>
      </c>
      <c r="C21" s="86"/>
    </row>
    <row r="22" ht="12.75" customHeight="1">
      <c r="A22" s="15" t="str">
        <f>'УзлыРесы(1)'!Q7</f>
        <v>Остров Рандис</v>
      </c>
      <c r="B22" s="34" t="str">
        <f>'УзлыРесы(1)'!S7</f>
        <v>Сушеная ставрида/налим/красноперка/осминог ! Осетр/налим/килька/эвус. БАРТЕР</v>
      </c>
      <c r="C22" s="86"/>
    </row>
    <row r="23" ht="12.75" customHeight="1">
      <c r="A23" s="15" t="str">
        <f>'УзлыРесы(1)'!B64</f>
        <v>Замок рыцарей Дельпе</v>
      </c>
      <c r="B23" s="34" t="str">
        <f>'УзлыРесы(1)'!D64</f>
        <v>Талисман любви из красного хрусталя</v>
      </c>
      <c r="C23" s="86"/>
    </row>
    <row r="24" ht="12.75" customHeight="1">
      <c r="A24" s="15" t="str">
        <f>'УзлыРесы(1)'!G20</f>
        <v>Западный лес Бри</v>
      </c>
      <c r="B24" s="34" t="str">
        <f>'УзлыРесы(1)'!I20</f>
        <v>Древесина, сок ольхи. Опёнок, болшой опёнок</v>
      </c>
      <c r="C24" s="86"/>
    </row>
    <row r="25" ht="12.75" customHeight="1">
      <c r="A25" s="15" t="str">
        <f>'УзлыРесы(1)'!G22</f>
        <v>Хребет Каранды</v>
      </c>
      <c r="B25" s="34" t="str">
        <f>'УзлыРесы(1)'!I22</f>
        <v>Черноголовка, пучок черноголовки</v>
      </c>
      <c r="C25" s="86"/>
    </row>
    <row r="26" ht="12.75" customHeight="1">
      <c r="A26" s="15" t="str">
        <f>'УзлыРесы(1)'!G23</f>
        <v>Хребет дьявола</v>
      </c>
      <c r="B26" s="34" t="str">
        <f>'УзлыРесы(1)'!I23</f>
        <v>Древесина ольхи, красная почка</v>
      </c>
      <c r="C26" s="86"/>
    </row>
    <row r="27" ht="12.75" customHeight="1">
      <c r="A27" s="15" t="str">
        <f>'УзлыРесы(1)'!G25</f>
        <v>Перевал Эви</v>
      </c>
      <c r="B27" s="34" t="str">
        <f>'УзлыРесы(1)'!I25</f>
        <v>Древесина кедра, ветвь монарха</v>
      </c>
      <c r="C27" s="86"/>
    </row>
    <row r="28" ht="12.75" customHeight="1">
      <c r="A28" s="15" t="str">
        <f>'УзлыРесы(1)'!G27</f>
        <v>Первый лагерь гигантов</v>
      </c>
      <c r="B28" s="34" t="str">
        <f>'УзлыРесы(1)'!I27</f>
        <v>Свинцовая руда, пыль разрушения</v>
      </c>
      <c r="C28" s="86"/>
    </row>
    <row r="29" ht="12.75" customHeight="1">
      <c r="A29" s="15" t="str">
        <f>'УзлыРесы(1)'!G31</f>
        <v>Пещера глутонов</v>
      </c>
      <c r="B29" s="34" t="str">
        <f>'УзлыРесы(1)'!I31</f>
        <v>Уголь, пыль разрушения. Вешенка, большая вешенка</v>
      </c>
      <c r="C29" s="86"/>
    </row>
    <row r="30" ht="12.75" customHeight="1">
      <c r="A30" s="15" t="str">
        <f>'УзлыРесы(1)'!G33</f>
        <v>Лес Энтов</v>
      </c>
      <c r="B30" s="34" t="str">
        <f>'УзлыРесы(1)'!I33</f>
        <v>Древесина кипариса, сучок кровавого дерева</v>
      </c>
      <c r="C30" s="86"/>
    </row>
    <row r="31" ht="12.75" customHeight="1">
      <c r="A31" s="15" t="str">
        <f>'УзлыРесы(1)'!G34</f>
        <v>Лагерь Ратамов</v>
      </c>
      <c r="B31" s="34" t="str">
        <f>'УзлыРесы(1)'!I34</f>
        <v>Оловянная руда, грубый зеленый хрусталь</v>
      </c>
      <c r="C31" s="86"/>
    </row>
    <row r="32" ht="12.75" customHeight="1">
      <c r="A32" s="15" t="str">
        <f>'УзлыРесы(1)'!G37</f>
        <v>Тёмный лес</v>
      </c>
      <c r="B32" s="34" t="str">
        <f>'УзлыРесы(1)'!I37</f>
        <v>Древесина, сок кедра</v>
      </c>
      <c r="C32" s="86"/>
    </row>
    <row r="33" ht="12.75" customHeight="1">
      <c r="A33" s="15" t="str">
        <f>'УзлыРесы(1)'!G78</f>
        <v>Звездная гробница</v>
      </c>
      <c r="B33" s="34" t="str">
        <f>'УзлыРесы(1)'!I78</f>
        <v>Сгусток чистых чар. Порошок вреда/смерти. Медная руда, кусок меди. Раскрошившийся осколок звезды</v>
      </c>
      <c r="C33" s="86"/>
    </row>
    <row r="34" ht="12.75" customHeight="1">
      <c r="A34" s="15" t="str">
        <f>'УзлыРесы(1)'!L39</f>
        <v>Холм Квинт</v>
      </c>
      <c r="B34" s="34" t="str">
        <f>'УзлыРесы(1)'!N39</f>
        <v>Древесина ольхи, красная почка. Свинцовая руда, пыль веков</v>
      </c>
      <c r="C34" s="86"/>
    </row>
    <row r="35" ht="12.75" customHeight="1">
      <c r="A35" s="15" t="str">
        <f>'УзлыРесы(1)'!L42</f>
        <v>Долина Эферии</v>
      </c>
      <c r="B35" s="34" t="str">
        <f>'УзлыРесы(1)'!N42</f>
        <v>Волнушка, большая волнушка</v>
      </c>
      <c r="C35" s="86"/>
    </row>
    <row r="36" ht="12.75" customHeight="1">
      <c r="A36" s="15" t="str">
        <f>'УзлыРесы(1)'!L48</f>
        <v>Рубеж мертвых</v>
      </c>
      <c r="B36" s="34" t="str">
        <f>'УзлыРесы(1)'!N48</f>
        <v>Железная руда, пыль тьмы</v>
      </c>
      <c r="C36" s="86"/>
    </row>
    <row r="37" ht="12.75" customHeight="1">
      <c r="A37" s="15" t="str">
        <f>'УзлыРесы(1)'!L57</f>
        <v>Шахта Кеплана</v>
      </c>
      <c r="B37" s="34" t="str">
        <f>'УзлыРесы(1)'!N57</f>
        <v>Уголь, пыль разрушения</v>
      </c>
      <c r="C37" s="86"/>
    </row>
    <row r="38" ht="12.75" customHeight="1">
      <c r="A38" s="44" t="str">
        <f>'УзлыРесы(1)'!L61</f>
        <v>Истоки медвежьей реки (скрытый)</v>
      </c>
      <c r="B38" s="34" t="str">
        <f>'УзлыРесы(1)'!N61</f>
        <v>Оловянная руда, пыль притяжения</v>
      </c>
      <c r="C38" s="86"/>
    </row>
    <row r="39" ht="12.75" customHeight="1">
      <c r="A39" s="44" t="str">
        <f>'УзлыРесы(1)'!L64</f>
        <v>Древо Руя (скрытый)</v>
      </c>
      <c r="B39" s="34" t="str">
        <f>'УзлыРесы(1)'!N64</f>
        <v>Вешенка, большая вешенка. Костяное ожерелье, старый коготь, Угаснувший порошок, прошок пепла / леса</v>
      </c>
      <c r="C39" s="86"/>
    </row>
    <row r="40" ht="12.75" customHeight="1">
      <c r="A40" s="15" t="str">
        <f>'УзлыРесы(1)'!L67</f>
        <v>Пещера Мари</v>
      </c>
      <c r="B40" s="34" t="str">
        <f>'УзлыРесы(1)'!N67</f>
        <v>Древесина / сок сосны. Груздь, большой груздь</v>
      </c>
      <c r="C40" s="86"/>
    </row>
    <row r="41" ht="12.75" customHeight="1">
      <c r="A41" s="15" t="str">
        <f>'УзлыРесы(1)'!L69</f>
        <v>Хижина дровосека</v>
      </c>
      <c r="B41" s="34" t="str">
        <f>'УзлыРесы(1)'!N69</f>
        <v>Древесина кедра, волшебный листок</v>
      </c>
      <c r="C41" s="86"/>
    </row>
    <row r="42" ht="12.75" customHeight="1">
      <c r="A42" s="15" t="str">
        <f>'УзлыРесы(1)'!Q3</f>
        <v>Остров Овэн</v>
      </c>
      <c r="B42" s="34" t="str">
        <f>'УзлыРесы(1)'!S3</f>
        <v>Сушеный дитрем/остронос/килька/язь ! Ставрида/налим/летучая рыба/язь. БАРТЕР</v>
      </c>
      <c r="C42" s="86"/>
    </row>
    <row r="43" ht="12.75" customHeight="1">
      <c r="A43" s="15" t="str">
        <f>'УзлыРесы(1)'!Q5</f>
        <v>Остров Тондэ</v>
      </c>
      <c r="B43" s="34" t="str">
        <f>'УзлыРесы(1)'!S5</f>
        <v>БАРТЕР</v>
      </c>
      <c r="C43" s="86"/>
    </row>
    <row r="44" ht="12.75" customHeight="1">
      <c r="A44" s="15" t="str">
        <f>'УзлыРесы(1)'!Q6</f>
        <v>Остров Варатерра</v>
      </c>
      <c r="B44" s="34" t="str">
        <f>'УзлыРесы(1)'!S6</f>
        <v>Сушеный дитрем/остронос/скат/килька ! Остронос/ставрида/летучая рыба/налим</v>
      </c>
      <c r="C44" s="86"/>
    </row>
    <row r="45" ht="12.75" customHeight="1">
      <c r="A45" s="15" t="str">
        <f>'УзлыРесы(1)'!Q8</f>
        <v>Остров Серка</v>
      </c>
      <c r="B45" s="34" t="str">
        <f>'УзлыРесы(1)'!S8</f>
        <v>Сушеный остронос/осетр/летучая рыба/карась</v>
      </c>
      <c r="C45" s="86"/>
    </row>
    <row r="46" ht="12.75" customHeight="1">
      <c r="A46" s="15" t="str">
        <f>'УзлыРесы(1)'!Q9</f>
        <v>Остров Ваэджа</v>
      </c>
      <c r="B46" s="34" t="str">
        <f>'УзлыРесы(1)'!S9</f>
        <v>Сушеный остронос/ставрида/осьминог/омуль</v>
      </c>
      <c r="C46" s="86"/>
    </row>
    <row r="47" ht="12.75" customHeight="1">
      <c r="A47" s="15" t="str">
        <f>'УзлыРесы(1)'!Q10</f>
        <v>Остров Модрик</v>
      </c>
      <c r="B47" s="34" t="str">
        <f>'УзлыРесы(1)'!S10</f>
        <v>Сушеный дитрем/ставрида/налим/макрель</v>
      </c>
      <c r="C47" s="86"/>
    </row>
    <row r="48" ht="12.75" customHeight="1">
      <c r="A48" s="15" t="str">
        <f>'УзлыРесы(1)'!Q12</f>
        <v>Остров Тэямаль</v>
      </c>
      <c r="B48" s="34" t="str">
        <f>'УзлыРесы(1)'!S12</f>
        <v>Сушеная ставрида/килька/макрель/осьминог ! Дитрем/скалярия/ставрида/летучая рыба</v>
      </c>
      <c r="C48" s="86"/>
    </row>
    <row r="49" ht="12.75" customHeight="1">
      <c r="A49" s="15" t="str">
        <f>'УзлыРесы(1)'!Q16</f>
        <v>Остров Кайт</v>
      </c>
      <c r="B49" s="34" t="str">
        <f>'УзлыРесы(1)'!S16</f>
        <v>БАРТЕР</v>
      </c>
      <c r="C49" s="86"/>
    </row>
    <row r="50" ht="12.75" customHeight="1">
      <c r="B50" s="5">
        <v>46.0</v>
      </c>
      <c r="C50" s="86"/>
    </row>
    <row r="51" ht="12.75" customHeight="1">
      <c r="C51" s="14"/>
    </row>
    <row r="52" ht="12.75" customHeight="1">
      <c r="C52" s="14"/>
    </row>
    <row r="53" ht="12.75" customHeight="1">
      <c r="C53" s="14"/>
    </row>
    <row r="54" ht="12.75" customHeight="1">
      <c r="C54" s="14"/>
    </row>
    <row r="55" ht="12.75" customHeight="1">
      <c r="C55" s="14"/>
    </row>
    <row r="56" ht="12.75" customHeight="1">
      <c r="C56" s="14"/>
    </row>
    <row r="57" ht="12.75" customHeight="1">
      <c r="C57" s="14"/>
    </row>
    <row r="58" ht="12.75" customHeight="1">
      <c r="C58" s="14"/>
    </row>
    <row r="59" ht="12.75" customHeight="1">
      <c r="C59" s="14"/>
    </row>
    <row r="60" ht="12.75" customHeight="1">
      <c r="C60" s="14"/>
    </row>
    <row r="61" ht="12.75" customHeight="1">
      <c r="C61" s="14"/>
    </row>
    <row r="62" ht="12.75" customHeight="1">
      <c r="C62" s="14"/>
    </row>
    <row r="63" ht="12.75" customHeight="1">
      <c r="C63" s="14"/>
    </row>
    <row r="64" ht="12.75" customHeight="1">
      <c r="C64" s="14"/>
    </row>
    <row r="65" ht="12.75" customHeight="1">
      <c r="C65" s="14"/>
    </row>
    <row r="66" ht="12.75" customHeight="1">
      <c r="C66" s="14"/>
    </row>
    <row r="67" ht="12.75" customHeight="1">
      <c r="C67" s="14"/>
    </row>
    <row r="68" ht="12.75" customHeight="1">
      <c r="C68" s="14"/>
    </row>
    <row r="69" ht="12.75" customHeight="1">
      <c r="C69" s="14"/>
    </row>
    <row r="70" ht="12.75" customHeight="1">
      <c r="C70" s="14"/>
    </row>
    <row r="71" ht="12.75" customHeight="1">
      <c r="C71" s="14"/>
    </row>
    <row r="72" ht="12.75" customHeight="1">
      <c r="C72" s="14"/>
    </row>
    <row r="73" ht="12.75" customHeight="1">
      <c r="C73" s="14"/>
    </row>
    <row r="74" ht="12.75" customHeight="1">
      <c r="C74" s="14"/>
    </row>
    <row r="75" ht="12.75" customHeight="1">
      <c r="C75" s="14"/>
    </row>
    <row r="76" ht="12.75" customHeight="1">
      <c r="C76" s="14"/>
    </row>
    <row r="77" ht="12.75" customHeight="1">
      <c r="C77" s="14"/>
    </row>
    <row r="78" ht="12.75" customHeight="1">
      <c r="C78" s="14"/>
    </row>
    <row r="79" ht="12.75" customHeight="1">
      <c r="C79" s="14"/>
    </row>
    <row r="80" ht="12.75" customHeight="1">
      <c r="C80" s="14"/>
    </row>
    <row r="81" ht="12.75" customHeight="1">
      <c r="C81" s="14"/>
    </row>
    <row r="82" ht="12.75" customHeight="1">
      <c r="C82" s="14"/>
    </row>
    <row r="83" ht="12.75" customHeight="1">
      <c r="C83" s="14"/>
    </row>
    <row r="84" ht="12.75" customHeight="1">
      <c r="C84" s="14"/>
    </row>
    <row r="85" ht="12.75" customHeight="1">
      <c r="C85" s="14"/>
    </row>
    <row r="86" ht="12.75" customHeight="1">
      <c r="C86" s="14"/>
    </row>
    <row r="87" ht="12.75" customHeight="1">
      <c r="C87" s="14"/>
    </row>
    <row r="88" ht="12.75" customHeight="1">
      <c r="C88" s="14"/>
    </row>
    <row r="89" ht="12.75" customHeight="1">
      <c r="C89" s="14"/>
    </row>
    <row r="90" ht="12.75" customHeight="1">
      <c r="C90" s="14"/>
    </row>
    <row r="91" ht="12.75" customHeight="1">
      <c r="C91" s="14"/>
    </row>
    <row r="92" ht="12.75" customHeight="1">
      <c r="C92" s="14"/>
    </row>
    <row r="93" ht="12.75" customHeight="1">
      <c r="C93" s="14"/>
    </row>
    <row r="94" ht="12.75" customHeight="1">
      <c r="C94" s="14"/>
    </row>
    <row r="95" ht="12.75" customHeight="1">
      <c r="C95" s="14"/>
    </row>
    <row r="96" ht="12.75" customHeight="1">
      <c r="C96" s="14"/>
    </row>
    <row r="97" ht="12.75" customHeight="1">
      <c r="C97" s="14"/>
    </row>
    <row r="98" ht="12.75" customHeight="1">
      <c r="C98" s="14"/>
    </row>
    <row r="99" ht="12.75" customHeight="1">
      <c r="C99" s="14"/>
    </row>
    <row r="100" ht="12.75" customHeight="1">
      <c r="C100" s="14"/>
    </row>
    <row r="101" ht="12.75" customHeight="1">
      <c r="C101" s="14"/>
    </row>
    <row r="102" ht="12.75" customHeight="1">
      <c r="C102" s="14"/>
    </row>
    <row r="103" ht="12.75" customHeight="1">
      <c r="C103" s="14"/>
    </row>
    <row r="104" ht="12.75" customHeight="1">
      <c r="C104" s="14"/>
    </row>
    <row r="105" ht="12.75" customHeight="1">
      <c r="C105" s="14"/>
    </row>
    <row r="106" ht="12.75" customHeight="1">
      <c r="C106" s="14"/>
    </row>
    <row r="107" ht="12.75" customHeight="1">
      <c r="C107" s="14"/>
    </row>
    <row r="108" ht="12.75" customHeight="1">
      <c r="C108" s="14"/>
    </row>
    <row r="109" ht="12.75" customHeight="1">
      <c r="C109" s="14"/>
    </row>
    <row r="110" ht="12.75" customHeight="1">
      <c r="C110" s="14"/>
    </row>
    <row r="111" ht="12.75" customHeight="1">
      <c r="C111" s="14"/>
    </row>
    <row r="112" ht="12.75" customHeight="1">
      <c r="C112" s="14"/>
    </row>
    <row r="113" ht="12.75" customHeight="1">
      <c r="C113" s="14"/>
    </row>
    <row r="114" ht="12.75" customHeight="1">
      <c r="C114" s="14"/>
    </row>
    <row r="115" ht="12.75" customHeight="1">
      <c r="C115" s="14"/>
    </row>
    <row r="116" ht="12.75" customHeight="1">
      <c r="C116" s="14"/>
    </row>
    <row r="117" ht="12.75" customHeight="1">
      <c r="C117" s="14"/>
    </row>
    <row r="118" ht="12.75" customHeight="1">
      <c r="C118" s="14"/>
    </row>
    <row r="119" ht="12.75" customHeight="1">
      <c r="C119" s="14"/>
    </row>
    <row r="120" ht="12.75" customHeight="1">
      <c r="C120" s="14"/>
    </row>
    <row r="121" ht="12.75" customHeight="1">
      <c r="C121" s="14"/>
    </row>
    <row r="122" ht="12.75" customHeight="1">
      <c r="C122" s="14"/>
    </row>
    <row r="123" ht="12.75" customHeight="1">
      <c r="C123" s="14"/>
    </row>
    <row r="124" ht="12.75" customHeight="1">
      <c r="C124" s="14"/>
    </row>
    <row r="125" ht="12.75" customHeight="1">
      <c r="C125" s="14"/>
    </row>
    <row r="126" ht="12.75" customHeight="1">
      <c r="C126" s="14"/>
    </row>
    <row r="127" ht="12.75" customHeight="1">
      <c r="C127" s="14"/>
    </row>
    <row r="128" ht="12.75" customHeight="1">
      <c r="C128" s="14"/>
    </row>
    <row r="129" ht="12.75" customHeight="1">
      <c r="C129" s="14"/>
    </row>
    <row r="130" ht="12.75" customHeight="1">
      <c r="C130" s="14"/>
    </row>
    <row r="131" ht="12.75" customHeight="1">
      <c r="C131" s="14"/>
    </row>
    <row r="132" ht="12.75" customHeight="1">
      <c r="C132" s="14"/>
    </row>
    <row r="133" ht="12.75" customHeight="1">
      <c r="C133" s="14"/>
    </row>
    <row r="134" ht="12.75" customHeight="1">
      <c r="C134" s="14"/>
    </row>
    <row r="135" ht="12.75" customHeight="1">
      <c r="C135" s="14"/>
    </row>
    <row r="136" ht="12.75" customHeight="1">
      <c r="C136" s="14"/>
    </row>
    <row r="137" ht="12.75" customHeight="1">
      <c r="C137" s="14"/>
    </row>
    <row r="138" ht="12.75" customHeight="1">
      <c r="C138" s="14"/>
    </row>
    <row r="139" ht="12.75" customHeight="1">
      <c r="C139" s="14"/>
    </row>
    <row r="140" ht="12.75" customHeight="1">
      <c r="C140" s="14"/>
    </row>
    <row r="141" ht="12.75" customHeight="1">
      <c r="C141" s="14"/>
    </row>
    <row r="142" ht="12.75" customHeight="1">
      <c r="C142" s="14"/>
    </row>
    <row r="143" ht="12.75" customHeight="1">
      <c r="C143" s="14"/>
    </row>
    <row r="144" ht="12.75" customHeight="1">
      <c r="C144" s="14"/>
    </row>
    <row r="145" ht="12.75" customHeight="1">
      <c r="C145" s="14"/>
    </row>
    <row r="146" ht="12.75" customHeight="1">
      <c r="C146" s="14"/>
    </row>
    <row r="147" ht="12.75" customHeight="1">
      <c r="C147" s="14"/>
    </row>
    <row r="148" ht="12.75" customHeight="1">
      <c r="C148" s="14"/>
    </row>
    <row r="149" ht="12.75" customHeight="1">
      <c r="C149" s="14"/>
    </row>
    <row r="150" ht="12.75" customHeight="1">
      <c r="C150" s="14"/>
    </row>
    <row r="151" ht="12.75" customHeight="1">
      <c r="C151" s="14"/>
    </row>
    <row r="152" ht="12.75" customHeight="1">
      <c r="C152" s="14"/>
    </row>
    <row r="153" ht="12.75" customHeight="1">
      <c r="C153" s="14"/>
    </row>
    <row r="154" ht="12.75" customHeight="1">
      <c r="C154" s="14"/>
    </row>
    <row r="155" ht="12.75" customHeight="1">
      <c r="C155" s="14"/>
    </row>
    <row r="156" ht="12.75" customHeight="1">
      <c r="C156" s="14"/>
    </row>
    <row r="157" ht="12.75" customHeight="1">
      <c r="C157" s="14"/>
    </row>
    <row r="158" ht="12.75" customHeight="1">
      <c r="C158" s="14"/>
    </row>
    <row r="159" ht="12.75" customHeight="1">
      <c r="C159" s="14"/>
    </row>
    <row r="160" ht="12.75" customHeight="1">
      <c r="C160" s="14"/>
    </row>
    <row r="161" ht="12.75" customHeight="1">
      <c r="C161" s="14"/>
    </row>
    <row r="162" ht="12.75" customHeight="1">
      <c r="C162" s="14"/>
    </row>
    <row r="163" ht="12.75" customHeight="1">
      <c r="C163" s="14"/>
    </row>
    <row r="164" ht="12.75" customHeight="1">
      <c r="C164" s="14"/>
    </row>
    <row r="165" ht="12.75" customHeight="1">
      <c r="C165" s="14"/>
    </row>
    <row r="166" ht="12.75" customHeight="1">
      <c r="C166" s="14"/>
    </row>
    <row r="167" ht="12.75" customHeight="1">
      <c r="C167" s="14"/>
    </row>
    <row r="168" ht="12.75" customHeight="1">
      <c r="C168" s="14"/>
    </row>
    <row r="169" ht="12.75" customHeight="1">
      <c r="C169" s="14"/>
    </row>
    <row r="170" ht="12.75" customHeight="1">
      <c r="C170" s="14"/>
    </row>
    <row r="171" ht="12.75" customHeight="1">
      <c r="C171" s="14"/>
    </row>
    <row r="172" ht="12.75" customHeight="1">
      <c r="C172" s="14"/>
    </row>
    <row r="173" ht="12.75" customHeight="1">
      <c r="C173" s="14"/>
    </row>
    <row r="174" ht="12.75" customHeight="1">
      <c r="C174" s="14"/>
    </row>
    <row r="175" ht="12.75" customHeight="1">
      <c r="C175" s="14"/>
    </row>
    <row r="176" ht="12.75" customHeight="1">
      <c r="C176" s="14"/>
    </row>
    <row r="177" ht="12.75" customHeight="1">
      <c r="C177" s="14"/>
    </row>
    <row r="178" ht="12.75" customHeight="1">
      <c r="C178" s="14"/>
    </row>
    <row r="179" ht="12.75" customHeight="1">
      <c r="C179" s="14"/>
    </row>
    <row r="180" ht="12.75" customHeight="1">
      <c r="C180" s="14"/>
    </row>
    <row r="181" ht="12.75" customHeight="1">
      <c r="C181" s="14"/>
    </row>
    <row r="182" ht="12.75" customHeight="1">
      <c r="C182" s="14"/>
    </row>
    <row r="183" ht="12.75" customHeight="1">
      <c r="C183" s="14"/>
    </row>
    <row r="184" ht="12.75" customHeight="1">
      <c r="C184" s="14"/>
    </row>
    <row r="185" ht="12.75" customHeight="1">
      <c r="C185" s="14"/>
    </row>
    <row r="186" ht="12.75" customHeight="1">
      <c r="C186" s="14"/>
    </row>
    <row r="187" ht="12.75" customHeight="1">
      <c r="C187" s="14"/>
    </row>
    <row r="188" ht="12.75" customHeight="1">
      <c r="C188" s="14"/>
    </row>
    <row r="189" ht="12.75" customHeight="1">
      <c r="C189" s="14"/>
    </row>
    <row r="190" ht="12.75" customHeight="1">
      <c r="C190" s="14"/>
    </row>
    <row r="191" ht="12.75" customHeight="1">
      <c r="C191" s="14"/>
    </row>
    <row r="192" ht="12.75" customHeight="1">
      <c r="C192" s="14"/>
    </row>
    <row r="193" ht="12.75" customHeight="1">
      <c r="C193" s="14"/>
    </row>
    <row r="194" ht="12.75" customHeight="1">
      <c r="C194" s="14"/>
    </row>
    <row r="195" ht="12.75" customHeight="1">
      <c r="C195" s="14"/>
    </row>
    <row r="196" ht="12.75" customHeight="1">
      <c r="C196" s="14"/>
    </row>
    <row r="197" ht="12.75" customHeight="1">
      <c r="C197" s="14"/>
    </row>
    <row r="198" ht="12.75" customHeight="1">
      <c r="C198" s="14"/>
    </row>
    <row r="199" ht="12.75" customHeight="1">
      <c r="C199" s="14"/>
    </row>
    <row r="200" ht="12.75" customHeight="1">
      <c r="C200" s="14"/>
    </row>
    <row r="201" ht="12.75" customHeight="1">
      <c r="C201" s="14"/>
    </row>
    <row r="202" ht="12.75" customHeight="1">
      <c r="C202" s="14"/>
    </row>
    <row r="203" ht="12.75" customHeight="1">
      <c r="C203" s="14"/>
    </row>
    <row r="204" ht="12.75" customHeight="1">
      <c r="C204" s="14"/>
    </row>
    <row r="205" ht="12.75" customHeight="1">
      <c r="C205" s="14"/>
    </row>
    <row r="206" ht="12.75" customHeight="1">
      <c r="C206" s="14"/>
    </row>
    <row r="207" ht="12.75" customHeight="1">
      <c r="C207" s="14"/>
    </row>
    <row r="208" ht="12.75" customHeight="1">
      <c r="C208" s="14"/>
    </row>
    <row r="209" ht="12.75" customHeight="1">
      <c r="C209" s="14"/>
    </row>
    <row r="210" ht="12.75" customHeight="1">
      <c r="C210" s="14"/>
    </row>
    <row r="211" ht="12.75" customHeight="1">
      <c r="C211" s="14"/>
    </row>
    <row r="212" ht="12.75" customHeight="1">
      <c r="C212" s="14"/>
    </row>
    <row r="213" ht="12.75" customHeight="1">
      <c r="C213" s="14"/>
    </row>
    <row r="214" ht="12.75" customHeight="1">
      <c r="C214" s="14"/>
    </row>
    <row r="215" ht="12.75" customHeight="1">
      <c r="C215" s="14"/>
    </row>
    <row r="216" ht="12.75" customHeight="1">
      <c r="C216" s="14"/>
    </row>
    <row r="217" ht="12.75" customHeight="1">
      <c r="C217" s="14"/>
    </row>
    <row r="218" ht="12.75" customHeight="1">
      <c r="C218" s="14"/>
    </row>
    <row r="219" ht="12.75" customHeight="1">
      <c r="C219" s="14"/>
    </row>
    <row r="220" ht="12.75" customHeight="1">
      <c r="C220" s="14"/>
    </row>
    <row r="221" ht="12.75" customHeight="1">
      <c r="C221" s="14"/>
    </row>
    <row r="222" ht="12.75" customHeight="1">
      <c r="C222" s="14"/>
    </row>
    <row r="223" ht="12.75" customHeight="1">
      <c r="C223" s="14"/>
    </row>
    <row r="224" ht="12.75" customHeight="1">
      <c r="C224" s="14"/>
    </row>
    <row r="225" ht="12.75" customHeight="1">
      <c r="C225" s="14"/>
    </row>
    <row r="226" ht="12.75" customHeight="1">
      <c r="C226" s="14"/>
    </row>
    <row r="227" ht="12.75" customHeight="1">
      <c r="C227" s="14"/>
    </row>
    <row r="228" ht="12.75" customHeight="1">
      <c r="C228" s="14"/>
    </row>
    <row r="229" ht="12.75" customHeight="1">
      <c r="C229" s="14"/>
    </row>
    <row r="230" ht="12.75" customHeight="1">
      <c r="C230" s="14"/>
    </row>
    <row r="231" ht="12.75" customHeight="1">
      <c r="C231" s="14"/>
    </row>
    <row r="232" ht="12.75" customHeight="1">
      <c r="C232" s="14"/>
    </row>
    <row r="233" ht="12.75" customHeight="1">
      <c r="C233" s="14"/>
    </row>
    <row r="234" ht="12.75" customHeight="1">
      <c r="C234" s="14"/>
    </row>
    <row r="235" ht="12.75" customHeight="1">
      <c r="C235" s="14"/>
    </row>
    <row r="236" ht="12.75" customHeight="1">
      <c r="C236" s="14"/>
    </row>
    <row r="237" ht="12.75" customHeight="1">
      <c r="C237" s="14"/>
    </row>
    <row r="238" ht="12.75" customHeight="1">
      <c r="C238" s="14"/>
    </row>
    <row r="239" ht="12.75" customHeight="1">
      <c r="C239" s="14"/>
    </row>
    <row r="240" ht="12.75" customHeight="1">
      <c r="C240" s="14"/>
    </row>
    <row r="241" ht="12.75" customHeight="1">
      <c r="C241" s="14"/>
    </row>
    <row r="242" ht="12.75" customHeight="1">
      <c r="C242" s="14"/>
    </row>
    <row r="243" ht="12.75" customHeight="1">
      <c r="C243" s="14"/>
    </row>
    <row r="244" ht="12.75" customHeight="1">
      <c r="C244" s="14"/>
    </row>
    <row r="245" ht="12.75" customHeight="1">
      <c r="C245" s="14"/>
    </row>
    <row r="246" ht="12.75" customHeight="1">
      <c r="C246" s="14"/>
    </row>
    <row r="247" ht="12.75" customHeight="1">
      <c r="C247" s="14"/>
    </row>
    <row r="248" ht="12.75" customHeight="1">
      <c r="C248" s="14"/>
    </row>
    <row r="249" ht="12.75" customHeight="1">
      <c r="C249" s="14"/>
    </row>
    <row r="250" ht="12.75" customHeight="1">
      <c r="C250" s="14"/>
    </row>
    <row r="251" ht="12.75" customHeight="1">
      <c r="C251" s="14"/>
    </row>
    <row r="252" ht="12.75" customHeight="1">
      <c r="C252" s="14"/>
    </row>
    <row r="253" ht="12.75" customHeight="1">
      <c r="C253" s="14"/>
    </row>
    <row r="254" ht="12.75" customHeight="1">
      <c r="C254" s="14"/>
    </row>
    <row r="255" ht="12.75" customHeight="1">
      <c r="C255" s="14"/>
    </row>
    <row r="256" ht="12.75" customHeight="1">
      <c r="C256" s="14"/>
    </row>
    <row r="257" ht="12.75" customHeight="1">
      <c r="C257" s="14"/>
    </row>
    <row r="258" ht="12.75" customHeight="1">
      <c r="C258" s="14"/>
    </row>
    <row r="259" ht="12.75" customHeight="1">
      <c r="C259" s="14"/>
    </row>
    <row r="260" ht="12.75" customHeight="1">
      <c r="C260" s="14"/>
    </row>
    <row r="261" ht="12.75" customHeight="1">
      <c r="C261" s="14"/>
    </row>
    <row r="262" ht="12.75" customHeight="1">
      <c r="C262" s="14"/>
    </row>
    <row r="263" ht="12.75" customHeight="1">
      <c r="C263" s="14"/>
    </row>
    <row r="264" ht="12.75" customHeight="1">
      <c r="C264" s="14"/>
    </row>
    <row r="265" ht="12.75" customHeight="1">
      <c r="C265" s="14"/>
    </row>
    <row r="266" ht="12.75" customHeight="1">
      <c r="C266" s="14"/>
    </row>
    <row r="267" ht="12.75" customHeight="1">
      <c r="C267" s="14"/>
    </row>
    <row r="268" ht="12.75" customHeight="1">
      <c r="C268" s="14"/>
    </row>
    <row r="269" ht="12.75" customHeight="1">
      <c r="C269" s="14"/>
    </row>
    <row r="270" ht="12.75" customHeight="1">
      <c r="C270" s="14"/>
    </row>
    <row r="271" ht="12.75" customHeight="1">
      <c r="C271" s="14"/>
    </row>
    <row r="272" ht="12.75" customHeight="1">
      <c r="C272" s="14"/>
    </row>
    <row r="273" ht="12.75" customHeight="1">
      <c r="C273" s="14"/>
    </row>
    <row r="274" ht="12.75" customHeight="1">
      <c r="C274" s="14"/>
    </row>
    <row r="275" ht="12.75" customHeight="1">
      <c r="C275" s="14"/>
    </row>
    <row r="276" ht="12.75" customHeight="1">
      <c r="C276" s="14"/>
    </row>
    <row r="277" ht="12.75" customHeight="1">
      <c r="C277" s="14"/>
    </row>
    <row r="278" ht="12.75" customHeight="1">
      <c r="C278" s="14"/>
    </row>
    <row r="279" ht="12.75" customHeight="1">
      <c r="C279" s="14"/>
    </row>
    <row r="280" ht="12.75" customHeight="1">
      <c r="C280" s="14"/>
    </row>
    <row r="281" ht="12.75" customHeight="1">
      <c r="C281" s="14"/>
    </row>
    <row r="282" ht="12.75" customHeight="1">
      <c r="C282" s="14"/>
    </row>
    <row r="283" ht="12.75" customHeight="1">
      <c r="C283" s="14"/>
    </row>
    <row r="284" ht="12.75" customHeight="1">
      <c r="C284" s="14"/>
    </row>
    <row r="285" ht="12.75" customHeight="1">
      <c r="C285" s="14"/>
    </row>
    <row r="286" ht="12.75" customHeight="1">
      <c r="C286" s="14"/>
    </row>
    <row r="287" ht="12.75" customHeight="1">
      <c r="C287" s="14"/>
    </row>
    <row r="288" ht="12.75" customHeight="1">
      <c r="C288" s="14"/>
    </row>
    <row r="289" ht="12.75" customHeight="1">
      <c r="C289" s="14"/>
    </row>
    <row r="290" ht="12.75" customHeight="1">
      <c r="C290" s="14"/>
    </row>
    <row r="291" ht="12.75" customHeight="1">
      <c r="C291" s="14"/>
    </row>
    <row r="292" ht="12.75" customHeight="1">
      <c r="C292" s="14"/>
    </row>
    <row r="293" ht="12.75" customHeight="1">
      <c r="C293" s="14"/>
    </row>
    <row r="294" ht="12.75" customHeight="1">
      <c r="C294" s="14"/>
    </row>
    <row r="295" ht="12.75" customHeight="1">
      <c r="C295" s="14"/>
    </row>
    <row r="296" ht="12.75" customHeight="1">
      <c r="C296" s="14"/>
    </row>
    <row r="297" ht="12.75" customHeight="1">
      <c r="C297" s="14"/>
    </row>
    <row r="298" ht="12.75" customHeight="1">
      <c r="C298" s="14"/>
    </row>
    <row r="299" ht="12.75" customHeight="1">
      <c r="C299" s="14"/>
    </row>
    <row r="300" ht="12.75" customHeight="1">
      <c r="C300" s="14"/>
    </row>
    <row r="301" ht="12.75" customHeight="1">
      <c r="C301" s="14"/>
    </row>
    <row r="302" ht="12.75" customHeight="1">
      <c r="C302" s="14"/>
    </row>
    <row r="303" ht="12.75" customHeight="1">
      <c r="C303" s="14"/>
    </row>
    <row r="304" ht="12.75" customHeight="1">
      <c r="C304" s="14"/>
    </row>
    <row r="305" ht="12.75" customHeight="1">
      <c r="C305" s="14"/>
    </row>
    <row r="306" ht="12.75" customHeight="1">
      <c r="C306" s="14"/>
    </row>
    <row r="307" ht="12.75" customHeight="1">
      <c r="C307" s="14"/>
    </row>
    <row r="308" ht="12.75" customHeight="1">
      <c r="C308" s="14"/>
    </row>
    <row r="309" ht="12.75" customHeight="1">
      <c r="C309" s="14"/>
    </row>
    <row r="310" ht="12.75" customHeight="1">
      <c r="C310" s="14"/>
    </row>
    <row r="311" ht="12.75" customHeight="1">
      <c r="C311" s="14"/>
    </row>
    <row r="312" ht="12.75" customHeight="1">
      <c r="C312" s="14"/>
    </row>
    <row r="313" ht="12.75" customHeight="1">
      <c r="C313" s="14"/>
    </row>
    <row r="314" ht="12.75" customHeight="1">
      <c r="C314" s="14"/>
    </row>
    <row r="315" ht="12.75" customHeight="1">
      <c r="C315" s="14"/>
    </row>
    <row r="316" ht="12.75" customHeight="1">
      <c r="C316" s="14"/>
    </row>
    <row r="317" ht="12.75" customHeight="1">
      <c r="C317" s="14"/>
    </row>
    <row r="318" ht="12.75" customHeight="1">
      <c r="C318" s="14"/>
    </row>
    <row r="319" ht="12.75" customHeight="1">
      <c r="C319" s="14"/>
    </row>
    <row r="320" ht="12.75" customHeight="1">
      <c r="C320" s="14"/>
    </row>
    <row r="321" ht="12.75" customHeight="1">
      <c r="C321" s="14"/>
    </row>
    <row r="322" ht="12.75" customHeight="1">
      <c r="C322" s="14"/>
    </row>
    <row r="323" ht="12.75" customHeight="1">
      <c r="C323" s="14"/>
    </row>
    <row r="324" ht="12.75" customHeight="1">
      <c r="C324" s="14"/>
    </row>
    <row r="325" ht="12.75" customHeight="1">
      <c r="C325" s="14"/>
    </row>
    <row r="326" ht="12.75" customHeight="1">
      <c r="C326" s="14"/>
    </row>
    <row r="327" ht="12.75" customHeight="1">
      <c r="C327" s="14"/>
    </row>
    <row r="328" ht="12.75" customHeight="1">
      <c r="C328" s="14"/>
    </row>
    <row r="329" ht="12.75" customHeight="1">
      <c r="C329" s="14"/>
    </row>
    <row r="330" ht="12.75" customHeight="1">
      <c r="C330" s="14"/>
    </row>
    <row r="331" ht="12.75" customHeight="1">
      <c r="C331" s="14"/>
    </row>
    <row r="332" ht="12.75" customHeight="1">
      <c r="C332" s="14"/>
    </row>
    <row r="333" ht="12.75" customHeight="1">
      <c r="C333" s="14"/>
    </row>
    <row r="334" ht="12.75" customHeight="1">
      <c r="C334" s="14"/>
    </row>
    <row r="335" ht="12.75" customHeight="1">
      <c r="C335" s="14"/>
    </row>
    <row r="336" ht="12.75" customHeight="1">
      <c r="C336" s="14"/>
    </row>
    <row r="337" ht="12.75" customHeight="1">
      <c r="C337" s="14"/>
    </row>
    <row r="338" ht="12.75" customHeight="1">
      <c r="C338" s="14"/>
    </row>
    <row r="339" ht="12.75" customHeight="1">
      <c r="C339" s="14"/>
    </row>
    <row r="340" ht="12.75" customHeight="1">
      <c r="C340" s="14"/>
    </row>
    <row r="341" ht="12.75" customHeight="1">
      <c r="C341" s="14"/>
    </row>
    <row r="342" ht="12.75" customHeight="1">
      <c r="C342" s="14"/>
    </row>
    <row r="343" ht="12.75" customHeight="1">
      <c r="C343" s="14"/>
    </row>
    <row r="344" ht="12.75" customHeight="1">
      <c r="C344" s="14"/>
    </row>
    <row r="345" ht="12.75" customHeight="1">
      <c r="C345" s="14"/>
    </row>
    <row r="346" ht="12.75" customHeight="1">
      <c r="C346" s="14"/>
    </row>
    <row r="347" ht="12.75" customHeight="1">
      <c r="C347" s="14"/>
    </row>
    <row r="348" ht="12.75" customHeight="1">
      <c r="C348" s="14"/>
    </row>
    <row r="349" ht="12.75" customHeight="1">
      <c r="C349" s="14"/>
    </row>
    <row r="350" ht="12.75" customHeight="1">
      <c r="C350" s="14"/>
    </row>
    <row r="351" ht="12.75" customHeight="1">
      <c r="C351" s="14"/>
    </row>
    <row r="352" ht="12.75" customHeight="1">
      <c r="C352" s="14"/>
    </row>
    <row r="353" ht="12.75" customHeight="1">
      <c r="C353" s="14"/>
    </row>
    <row r="354" ht="12.75" customHeight="1">
      <c r="C354" s="14"/>
    </row>
    <row r="355" ht="12.75" customHeight="1">
      <c r="C355" s="14"/>
    </row>
    <row r="356" ht="12.75" customHeight="1">
      <c r="C356" s="14"/>
    </row>
    <row r="357" ht="12.75" customHeight="1">
      <c r="C357" s="14"/>
    </row>
    <row r="358" ht="12.75" customHeight="1">
      <c r="C358" s="14"/>
    </row>
    <row r="359" ht="12.75" customHeight="1">
      <c r="C359" s="14"/>
    </row>
    <row r="360" ht="12.75" customHeight="1">
      <c r="C360" s="14"/>
    </row>
    <row r="361" ht="12.75" customHeight="1">
      <c r="C361" s="14"/>
    </row>
    <row r="362" ht="12.75" customHeight="1">
      <c r="C362" s="14"/>
    </row>
    <row r="363" ht="12.75" customHeight="1">
      <c r="C363" s="14"/>
    </row>
    <row r="364" ht="12.75" customHeight="1">
      <c r="C364" s="14"/>
    </row>
    <row r="365" ht="12.75" customHeight="1">
      <c r="C365" s="14"/>
    </row>
    <row r="366" ht="12.75" customHeight="1">
      <c r="C366" s="14"/>
    </row>
    <row r="367" ht="12.75" customHeight="1">
      <c r="C367" s="14"/>
    </row>
    <row r="368" ht="12.75" customHeight="1">
      <c r="C368" s="14"/>
    </row>
    <row r="369" ht="12.75" customHeight="1">
      <c r="C369" s="14"/>
    </row>
    <row r="370" ht="12.75" customHeight="1">
      <c r="C370" s="14"/>
    </row>
    <row r="371" ht="12.75" customHeight="1">
      <c r="C371" s="14"/>
    </row>
    <row r="372" ht="12.75" customHeight="1">
      <c r="C372" s="14"/>
    </row>
    <row r="373" ht="12.75" customHeight="1">
      <c r="C373" s="14"/>
    </row>
    <row r="374" ht="12.75" customHeight="1">
      <c r="C374" s="14"/>
    </row>
    <row r="375" ht="12.75" customHeight="1">
      <c r="C375" s="14"/>
    </row>
    <row r="376" ht="12.75" customHeight="1">
      <c r="C376" s="14"/>
    </row>
    <row r="377" ht="12.75" customHeight="1">
      <c r="C377" s="14"/>
    </row>
    <row r="378" ht="12.75" customHeight="1">
      <c r="C378" s="14"/>
    </row>
    <row r="379" ht="12.75" customHeight="1">
      <c r="C379" s="14"/>
    </row>
    <row r="380" ht="12.75" customHeight="1">
      <c r="C380" s="14"/>
    </row>
    <row r="381" ht="12.75" customHeight="1">
      <c r="C381" s="14"/>
    </row>
    <row r="382" ht="12.75" customHeight="1">
      <c r="C382" s="14"/>
    </row>
    <row r="383" ht="12.75" customHeight="1">
      <c r="C383" s="14"/>
    </row>
    <row r="384" ht="12.75" customHeight="1">
      <c r="C384" s="14"/>
    </row>
    <row r="385" ht="12.75" customHeight="1">
      <c r="C385" s="14"/>
    </row>
    <row r="386" ht="12.75" customHeight="1">
      <c r="C386" s="14"/>
    </row>
    <row r="387" ht="12.75" customHeight="1">
      <c r="C387" s="14"/>
    </row>
    <row r="388" ht="12.75" customHeight="1">
      <c r="C388" s="14"/>
    </row>
    <row r="389" ht="12.75" customHeight="1">
      <c r="C389" s="14"/>
    </row>
    <row r="390" ht="12.75" customHeight="1">
      <c r="C390" s="14"/>
    </row>
    <row r="391" ht="12.75" customHeight="1">
      <c r="C391" s="14"/>
    </row>
    <row r="392" ht="12.75" customHeight="1">
      <c r="C392" s="14"/>
    </row>
    <row r="393" ht="12.75" customHeight="1">
      <c r="C393" s="14"/>
    </row>
    <row r="394" ht="12.75" customHeight="1">
      <c r="C394" s="14"/>
    </row>
    <row r="395" ht="12.75" customHeight="1">
      <c r="C395" s="14"/>
    </row>
    <row r="396" ht="12.75" customHeight="1">
      <c r="C396" s="14"/>
    </row>
    <row r="397" ht="12.75" customHeight="1">
      <c r="C397" s="14"/>
    </row>
    <row r="398" ht="12.75" customHeight="1">
      <c r="C398" s="14"/>
    </row>
    <row r="399" ht="12.75" customHeight="1">
      <c r="C399" s="14"/>
    </row>
    <row r="400" ht="12.75" customHeight="1">
      <c r="C400" s="14"/>
    </row>
    <row r="401" ht="12.75" customHeight="1">
      <c r="C401" s="14"/>
    </row>
    <row r="402" ht="12.75" customHeight="1">
      <c r="C402" s="14"/>
    </row>
    <row r="403" ht="12.75" customHeight="1">
      <c r="C403" s="14"/>
    </row>
    <row r="404" ht="12.75" customHeight="1">
      <c r="C404" s="14"/>
    </row>
    <row r="405" ht="12.75" customHeight="1">
      <c r="C405" s="14"/>
    </row>
    <row r="406" ht="12.75" customHeight="1">
      <c r="C406" s="14"/>
    </row>
    <row r="407" ht="12.75" customHeight="1">
      <c r="C407" s="14"/>
    </row>
    <row r="408" ht="12.75" customHeight="1">
      <c r="C408" s="14"/>
    </row>
    <row r="409" ht="12.75" customHeight="1">
      <c r="C409" s="14"/>
    </row>
    <row r="410" ht="12.75" customHeight="1">
      <c r="C410" s="14"/>
    </row>
    <row r="411" ht="12.75" customHeight="1">
      <c r="C411" s="14"/>
    </row>
    <row r="412" ht="12.75" customHeight="1">
      <c r="C412" s="14"/>
    </row>
    <row r="413" ht="12.75" customHeight="1">
      <c r="C413" s="14"/>
    </row>
    <row r="414" ht="12.75" customHeight="1">
      <c r="C414" s="14"/>
    </row>
    <row r="415" ht="12.75" customHeight="1">
      <c r="C415" s="14"/>
    </row>
    <row r="416" ht="12.75" customHeight="1">
      <c r="C416" s="14"/>
    </row>
    <row r="417" ht="12.75" customHeight="1">
      <c r="C417" s="14"/>
    </row>
    <row r="418" ht="12.75" customHeight="1">
      <c r="C418" s="14"/>
    </row>
    <row r="419" ht="12.75" customHeight="1">
      <c r="C419" s="14"/>
    </row>
    <row r="420" ht="12.75" customHeight="1">
      <c r="C420" s="14"/>
    </row>
    <row r="421" ht="12.75" customHeight="1">
      <c r="C421" s="14"/>
    </row>
    <row r="422" ht="12.75" customHeight="1">
      <c r="C422" s="14"/>
    </row>
    <row r="423" ht="12.75" customHeight="1">
      <c r="C423" s="14"/>
    </row>
    <row r="424" ht="12.75" customHeight="1">
      <c r="C424" s="14"/>
    </row>
    <row r="425" ht="12.75" customHeight="1">
      <c r="C425" s="14"/>
    </row>
    <row r="426" ht="12.75" customHeight="1">
      <c r="C426" s="14"/>
    </row>
    <row r="427" ht="12.75" customHeight="1">
      <c r="C427" s="14"/>
    </row>
    <row r="428" ht="12.75" customHeight="1">
      <c r="C428" s="14"/>
    </row>
    <row r="429" ht="12.75" customHeight="1">
      <c r="C429" s="14"/>
    </row>
    <row r="430" ht="12.75" customHeight="1">
      <c r="C430" s="14"/>
    </row>
    <row r="431" ht="12.75" customHeight="1">
      <c r="C431" s="14"/>
    </row>
    <row r="432" ht="12.75" customHeight="1">
      <c r="C432" s="14"/>
    </row>
    <row r="433" ht="12.75" customHeight="1">
      <c r="C433" s="14"/>
    </row>
    <row r="434" ht="12.75" customHeight="1">
      <c r="C434" s="14"/>
    </row>
    <row r="435" ht="12.75" customHeight="1">
      <c r="C435" s="14"/>
    </row>
    <row r="436" ht="12.75" customHeight="1">
      <c r="C436" s="14"/>
    </row>
    <row r="437" ht="12.75" customHeight="1">
      <c r="C437" s="14"/>
    </row>
    <row r="438" ht="12.75" customHeight="1">
      <c r="C438" s="14"/>
    </row>
    <row r="439" ht="12.75" customHeight="1">
      <c r="C439" s="14"/>
    </row>
    <row r="440" ht="12.75" customHeight="1">
      <c r="C440" s="14"/>
    </row>
    <row r="441" ht="12.75" customHeight="1">
      <c r="C441" s="14"/>
    </row>
    <row r="442" ht="12.75" customHeight="1">
      <c r="C442" s="14"/>
    </row>
    <row r="443" ht="12.75" customHeight="1">
      <c r="C443" s="14"/>
    </row>
    <row r="444" ht="12.75" customHeight="1">
      <c r="C444" s="14"/>
    </row>
    <row r="445" ht="12.75" customHeight="1">
      <c r="C445" s="14"/>
    </row>
    <row r="446" ht="12.75" customHeight="1">
      <c r="C446" s="14"/>
    </row>
    <row r="447" ht="12.75" customHeight="1">
      <c r="C447" s="14"/>
    </row>
    <row r="448" ht="12.75" customHeight="1">
      <c r="C448" s="14"/>
    </row>
    <row r="449" ht="12.75" customHeight="1">
      <c r="C449" s="14"/>
    </row>
    <row r="450" ht="12.75" customHeight="1">
      <c r="C450" s="14"/>
    </row>
    <row r="451" ht="12.75" customHeight="1">
      <c r="C451" s="14"/>
    </row>
    <row r="452" ht="12.75" customHeight="1">
      <c r="C452" s="14"/>
    </row>
    <row r="453" ht="12.75" customHeight="1">
      <c r="C453" s="14"/>
    </row>
    <row r="454" ht="12.75" customHeight="1">
      <c r="C454" s="14"/>
    </row>
    <row r="455" ht="12.75" customHeight="1">
      <c r="C455" s="14"/>
    </row>
    <row r="456" ht="12.75" customHeight="1">
      <c r="C456" s="14"/>
    </row>
    <row r="457" ht="12.75" customHeight="1">
      <c r="C457" s="14"/>
    </row>
    <row r="458" ht="12.75" customHeight="1">
      <c r="C458" s="14"/>
    </row>
    <row r="459" ht="12.75" customHeight="1">
      <c r="C459" s="14"/>
    </row>
    <row r="460" ht="12.75" customHeight="1">
      <c r="C460" s="14"/>
    </row>
    <row r="461" ht="12.75" customHeight="1">
      <c r="C461" s="14"/>
    </row>
    <row r="462" ht="12.75" customHeight="1">
      <c r="C462" s="14"/>
    </row>
    <row r="463" ht="12.75" customHeight="1">
      <c r="C463" s="14"/>
    </row>
    <row r="464" ht="12.75" customHeight="1">
      <c r="C464" s="14"/>
    </row>
    <row r="465" ht="12.75" customHeight="1">
      <c r="C465" s="14"/>
    </row>
    <row r="466" ht="12.75" customHeight="1">
      <c r="C466" s="14"/>
    </row>
    <row r="467" ht="12.75" customHeight="1">
      <c r="C467" s="14"/>
    </row>
    <row r="468" ht="12.75" customHeight="1">
      <c r="C468" s="14"/>
    </row>
    <row r="469" ht="12.75" customHeight="1">
      <c r="C469" s="14"/>
    </row>
    <row r="470" ht="12.75" customHeight="1">
      <c r="C470" s="14"/>
    </row>
    <row r="471" ht="12.75" customHeight="1">
      <c r="C471" s="14"/>
    </row>
    <row r="472" ht="12.75" customHeight="1">
      <c r="C472" s="14"/>
    </row>
    <row r="473" ht="12.75" customHeight="1">
      <c r="C473" s="14"/>
    </row>
    <row r="474" ht="12.75" customHeight="1">
      <c r="C474" s="14"/>
    </row>
    <row r="475" ht="12.75" customHeight="1">
      <c r="C475" s="14"/>
    </row>
    <row r="476" ht="12.75" customHeight="1">
      <c r="C476" s="14"/>
    </row>
    <row r="477" ht="12.75" customHeight="1">
      <c r="C477" s="14"/>
    </row>
    <row r="478" ht="12.75" customHeight="1">
      <c r="C478" s="14"/>
    </row>
    <row r="479" ht="12.75" customHeight="1">
      <c r="C479" s="14"/>
    </row>
    <row r="480" ht="12.75" customHeight="1">
      <c r="C480" s="14"/>
    </row>
    <row r="481" ht="12.75" customHeight="1">
      <c r="C481" s="14"/>
    </row>
    <row r="482" ht="12.75" customHeight="1">
      <c r="C482" s="14"/>
    </row>
    <row r="483" ht="12.75" customHeight="1">
      <c r="C483" s="14"/>
    </row>
    <row r="484" ht="12.75" customHeight="1">
      <c r="C484" s="14"/>
    </row>
    <row r="485" ht="12.75" customHeight="1">
      <c r="C485" s="14"/>
    </row>
    <row r="486" ht="12.75" customHeight="1">
      <c r="C486" s="14"/>
    </row>
    <row r="487" ht="12.75" customHeight="1">
      <c r="C487" s="14"/>
    </row>
    <row r="488" ht="12.75" customHeight="1">
      <c r="C488" s="14"/>
    </row>
    <row r="489" ht="12.75" customHeight="1">
      <c r="C489" s="14"/>
    </row>
    <row r="490" ht="12.75" customHeight="1">
      <c r="C490" s="14"/>
    </row>
    <row r="491" ht="12.75" customHeight="1">
      <c r="C491" s="14"/>
    </row>
    <row r="492" ht="12.75" customHeight="1">
      <c r="C492" s="14"/>
    </row>
    <row r="493" ht="12.75" customHeight="1">
      <c r="C493" s="14"/>
    </row>
    <row r="494" ht="12.75" customHeight="1">
      <c r="C494" s="14"/>
    </row>
    <row r="495" ht="12.75" customHeight="1">
      <c r="C495" s="14"/>
    </row>
    <row r="496" ht="12.75" customHeight="1">
      <c r="C496" s="14"/>
    </row>
    <row r="497" ht="12.75" customHeight="1">
      <c r="C497" s="14"/>
    </row>
    <row r="498" ht="12.75" customHeight="1">
      <c r="C498" s="14"/>
    </row>
    <row r="499" ht="12.75" customHeight="1">
      <c r="C499" s="14"/>
    </row>
    <row r="500" ht="12.75" customHeight="1">
      <c r="C500" s="14"/>
    </row>
    <row r="501" ht="12.75" customHeight="1">
      <c r="C501" s="14"/>
    </row>
    <row r="502" ht="12.75" customHeight="1">
      <c r="C502" s="14"/>
    </row>
    <row r="503" ht="12.75" customHeight="1">
      <c r="C503" s="14"/>
    </row>
    <row r="504" ht="12.75" customHeight="1">
      <c r="C504" s="14"/>
    </row>
    <row r="505" ht="12.75" customHeight="1">
      <c r="C505" s="14"/>
    </row>
    <row r="506" ht="12.75" customHeight="1">
      <c r="C506" s="14"/>
    </row>
    <row r="507" ht="12.75" customHeight="1">
      <c r="C507" s="14"/>
    </row>
    <row r="508" ht="12.75" customHeight="1">
      <c r="C508" s="14"/>
    </row>
    <row r="509" ht="12.75" customHeight="1">
      <c r="C509" s="14"/>
    </row>
    <row r="510" ht="12.75" customHeight="1">
      <c r="C510" s="14"/>
    </row>
    <row r="511" ht="12.75" customHeight="1">
      <c r="C511" s="14"/>
    </row>
    <row r="512" ht="12.75" customHeight="1">
      <c r="C512" s="14"/>
    </row>
    <row r="513" ht="12.75" customHeight="1">
      <c r="C513" s="14"/>
    </row>
    <row r="514" ht="12.75" customHeight="1">
      <c r="C514" s="14"/>
    </row>
    <row r="515" ht="12.75" customHeight="1">
      <c r="C515" s="14"/>
    </row>
    <row r="516" ht="12.75" customHeight="1">
      <c r="C516" s="14"/>
    </row>
    <row r="517" ht="12.75" customHeight="1">
      <c r="C517" s="14"/>
    </row>
    <row r="518" ht="12.75" customHeight="1">
      <c r="C518" s="14"/>
    </row>
    <row r="519" ht="12.75" customHeight="1">
      <c r="C519" s="14"/>
    </row>
    <row r="520" ht="12.75" customHeight="1">
      <c r="C520" s="14"/>
    </row>
    <row r="521" ht="12.75" customHeight="1">
      <c r="C521" s="14"/>
    </row>
    <row r="522" ht="12.75" customHeight="1">
      <c r="C522" s="14"/>
    </row>
    <row r="523" ht="12.75" customHeight="1">
      <c r="C523" s="14"/>
    </row>
    <row r="524" ht="12.75" customHeight="1">
      <c r="C524" s="14"/>
    </row>
    <row r="525" ht="12.75" customHeight="1">
      <c r="C525" s="14"/>
    </row>
    <row r="526" ht="12.75" customHeight="1">
      <c r="C526" s="14"/>
    </row>
    <row r="527" ht="12.75" customHeight="1">
      <c r="C527" s="14"/>
    </row>
    <row r="528" ht="12.75" customHeight="1">
      <c r="C528" s="14"/>
    </row>
    <row r="529" ht="12.75" customHeight="1">
      <c r="C529" s="14"/>
    </row>
    <row r="530" ht="12.75" customHeight="1">
      <c r="C530" s="14"/>
    </row>
    <row r="531" ht="12.75" customHeight="1">
      <c r="C531" s="14"/>
    </row>
    <row r="532" ht="12.75" customHeight="1">
      <c r="C532" s="14"/>
    </row>
    <row r="533" ht="12.75" customHeight="1">
      <c r="C533" s="14"/>
    </row>
    <row r="534" ht="12.75" customHeight="1">
      <c r="C534" s="14"/>
    </row>
    <row r="535" ht="12.75" customHeight="1">
      <c r="C535" s="14"/>
    </row>
    <row r="536" ht="12.75" customHeight="1">
      <c r="C536" s="14"/>
    </row>
    <row r="537" ht="12.75" customHeight="1">
      <c r="C537" s="14"/>
    </row>
    <row r="538" ht="12.75" customHeight="1">
      <c r="C538" s="14"/>
    </row>
    <row r="539" ht="12.75" customHeight="1">
      <c r="C539" s="14"/>
    </row>
    <row r="540" ht="12.75" customHeight="1">
      <c r="C540" s="14"/>
    </row>
    <row r="541" ht="12.75" customHeight="1">
      <c r="C541" s="14"/>
    </row>
    <row r="542" ht="12.75" customHeight="1">
      <c r="C542" s="14"/>
    </row>
    <row r="543" ht="12.75" customHeight="1">
      <c r="C543" s="14"/>
    </row>
    <row r="544" ht="12.75" customHeight="1">
      <c r="C544" s="14"/>
    </row>
    <row r="545" ht="12.75" customHeight="1">
      <c r="C545" s="14"/>
    </row>
    <row r="546" ht="12.75" customHeight="1">
      <c r="C546" s="14"/>
    </row>
    <row r="547" ht="12.75" customHeight="1">
      <c r="C547" s="14"/>
    </row>
    <row r="548" ht="12.75" customHeight="1">
      <c r="C548" s="14"/>
    </row>
    <row r="549" ht="12.75" customHeight="1">
      <c r="C549" s="14"/>
    </row>
    <row r="550" ht="12.75" customHeight="1">
      <c r="C550" s="14"/>
    </row>
    <row r="551" ht="12.75" customHeight="1">
      <c r="C551" s="14"/>
    </row>
    <row r="552" ht="12.75" customHeight="1">
      <c r="C552" s="14"/>
    </row>
    <row r="553" ht="12.75" customHeight="1">
      <c r="C553" s="14"/>
    </row>
    <row r="554" ht="12.75" customHeight="1">
      <c r="C554" s="14"/>
    </row>
    <row r="555" ht="12.75" customHeight="1">
      <c r="C555" s="14"/>
    </row>
    <row r="556" ht="12.75" customHeight="1">
      <c r="C556" s="14"/>
    </row>
    <row r="557" ht="12.75" customHeight="1">
      <c r="C557" s="14"/>
    </row>
    <row r="558" ht="12.75" customHeight="1">
      <c r="C558" s="14"/>
    </row>
    <row r="559" ht="12.75" customHeight="1">
      <c r="C559" s="14"/>
    </row>
    <row r="560" ht="12.75" customHeight="1">
      <c r="C560" s="14"/>
    </row>
    <row r="561" ht="12.75" customHeight="1">
      <c r="C561" s="14"/>
    </row>
    <row r="562" ht="12.75" customHeight="1">
      <c r="C562" s="14"/>
    </row>
    <row r="563" ht="12.75" customHeight="1">
      <c r="C563" s="14"/>
    </row>
    <row r="564" ht="12.75" customHeight="1">
      <c r="C564" s="14"/>
    </row>
    <row r="565" ht="12.75" customHeight="1">
      <c r="C565" s="14"/>
    </row>
    <row r="566" ht="12.75" customHeight="1">
      <c r="C566" s="14"/>
    </row>
    <row r="567" ht="12.75" customHeight="1">
      <c r="C567" s="14"/>
    </row>
    <row r="568" ht="12.75" customHeight="1">
      <c r="C568" s="14"/>
    </row>
    <row r="569" ht="12.75" customHeight="1">
      <c r="C569" s="14"/>
    </row>
    <row r="570" ht="12.75" customHeight="1">
      <c r="C570" s="14"/>
    </row>
    <row r="571" ht="12.75" customHeight="1">
      <c r="C571" s="14"/>
    </row>
    <row r="572" ht="12.75" customHeight="1">
      <c r="C572" s="14"/>
    </row>
    <row r="573" ht="12.75" customHeight="1">
      <c r="C573" s="14"/>
    </row>
    <row r="574" ht="12.75" customHeight="1">
      <c r="C574" s="14"/>
    </row>
    <row r="575" ht="12.75" customHeight="1">
      <c r="C575" s="14"/>
    </row>
    <row r="576" ht="12.75" customHeight="1">
      <c r="C576" s="14"/>
    </row>
    <row r="577" ht="12.75" customHeight="1">
      <c r="C577" s="14"/>
    </row>
    <row r="578" ht="12.75" customHeight="1">
      <c r="C578" s="14"/>
    </row>
    <row r="579" ht="12.75" customHeight="1">
      <c r="C579" s="14"/>
    </row>
    <row r="580" ht="12.75" customHeight="1">
      <c r="C580" s="14"/>
    </row>
    <row r="581" ht="12.75" customHeight="1">
      <c r="C581" s="14"/>
    </row>
    <row r="582" ht="12.75" customHeight="1">
      <c r="C582" s="14"/>
    </row>
    <row r="583" ht="12.75" customHeight="1">
      <c r="C583" s="14"/>
    </row>
    <row r="584" ht="12.75" customHeight="1">
      <c r="C584" s="14"/>
    </row>
    <row r="585" ht="12.75" customHeight="1">
      <c r="C585" s="14"/>
    </row>
    <row r="586" ht="12.75" customHeight="1">
      <c r="C586" s="14"/>
    </row>
    <row r="587" ht="12.75" customHeight="1">
      <c r="C587" s="14"/>
    </row>
    <row r="588" ht="12.75" customHeight="1">
      <c r="C588" s="14"/>
    </row>
    <row r="589" ht="12.75" customHeight="1">
      <c r="C589" s="14"/>
    </row>
    <row r="590" ht="12.75" customHeight="1">
      <c r="C590" s="14"/>
    </row>
    <row r="591" ht="12.75" customHeight="1">
      <c r="C591" s="14"/>
    </row>
    <row r="592" ht="12.75" customHeight="1">
      <c r="C592" s="14"/>
    </row>
    <row r="593" ht="12.75" customHeight="1">
      <c r="C593" s="14"/>
    </row>
    <row r="594" ht="12.75" customHeight="1">
      <c r="C594" s="14"/>
    </row>
    <row r="595" ht="12.75" customHeight="1">
      <c r="C595" s="14"/>
    </row>
    <row r="596" ht="12.75" customHeight="1">
      <c r="C596" s="14"/>
    </row>
    <row r="597" ht="12.75" customHeight="1">
      <c r="C597" s="14"/>
    </row>
    <row r="598" ht="12.75" customHeight="1">
      <c r="C598" s="14"/>
    </row>
    <row r="599" ht="12.75" customHeight="1">
      <c r="C599" s="14"/>
    </row>
    <row r="600" ht="12.75" customHeight="1">
      <c r="C600" s="14"/>
    </row>
    <row r="601" ht="12.75" customHeight="1">
      <c r="C601" s="14"/>
    </row>
    <row r="602" ht="12.75" customHeight="1">
      <c r="C602" s="14"/>
    </row>
    <row r="603" ht="12.75" customHeight="1">
      <c r="C603" s="14"/>
    </row>
    <row r="604" ht="12.75" customHeight="1">
      <c r="C604" s="14"/>
    </row>
    <row r="605" ht="12.75" customHeight="1">
      <c r="C605" s="14"/>
    </row>
    <row r="606" ht="12.75" customHeight="1">
      <c r="C606" s="14"/>
    </row>
    <row r="607" ht="12.75" customHeight="1">
      <c r="C607" s="14"/>
    </row>
    <row r="608" ht="12.75" customHeight="1">
      <c r="C608" s="14"/>
    </row>
    <row r="609" ht="12.75" customHeight="1">
      <c r="C609" s="14"/>
    </row>
    <row r="610" ht="12.75" customHeight="1">
      <c r="C610" s="14"/>
    </row>
    <row r="611" ht="12.75" customHeight="1">
      <c r="C611" s="14"/>
    </row>
    <row r="612" ht="12.75" customHeight="1">
      <c r="C612" s="14"/>
    </row>
    <row r="613" ht="12.75" customHeight="1">
      <c r="C613" s="14"/>
    </row>
    <row r="614" ht="12.75" customHeight="1">
      <c r="C614" s="14"/>
    </row>
    <row r="615" ht="12.75" customHeight="1">
      <c r="C615" s="14"/>
    </row>
    <row r="616" ht="12.75" customHeight="1">
      <c r="C616" s="14"/>
    </row>
    <row r="617" ht="12.75" customHeight="1">
      <c r="C617" s="14"/>
    </row>
    <row r="618" ht="12.75" customHeight="1">
      <c r="C618" s="14"/>
    </row>
    <row r="619" ht="12.75" customHeight="1">
      <c r="C619" s="14"/>
    </row>
    <row r="620" ht="12.75" customHeight="1">
      <c r="C620" s="14"/>
    </row>
    <row r="621" ht="12.75" customHeight="1">
      <c r="C621" s="14"/>
    </row>
    <row r="622" ht="12.75" customHeight="1">
      <c r="C622" s="14"/>
    </row>
    <row r="623" ht="12.75" customHeight="1">
      <c r="C623" s="14"/>
    </row>
    <row r="624" ht="12.75" customHeight="1">
      <c r="C624" s="14"/>
    </row>
    <row r="625" ht="12.75" customHeight="1">
      <c r="C625" s="14"/>
    </row>
    <row r="626" ht="12.75" customHeight="1">
      <c r="C626" s="14"/>
    </row>
    <row r="627" ht="12.75" customHeight="1">
      <c r="C627" s="14"/>
    </row>
    <row r="628" ht="12.75" customHeight="1">
      <c r="C628" s="14"/>
    </row>
    <row r="629" ht="12.75" customHeight="1">
      <c r="C629" s="14"/>
    </row>
    <row r="630" ht="12.75" customHeight="1">
      <c r="C630" s="14"/>
    </row>
    <row r="631" ht="12.75" customHeight="1">
      <c r="C631" s="14"/>
    </row>
    <row r="632" ht="12.75" customHeight="1">
      <c r="C632" s="14"/>
    </row>
    <row r="633" ht="12.75" customHeight="1">
      <c r="C633" s="14"/>
    </row>
    <row r="634" ht="12.75" customHeight="1">
      <c r="C634" s="14"/>
    </row>
    <row r="635" ht="12.75" customHeight="1">
      <c r="C635" s="14"/>
    </row>
    <row r="636" ht="12.75" customHeight="1">
      <c r="C636" s="14"/>
    </row>
    <row r="637" ht="12.75" customHeight="1">
      <c r="C637" s="14"/>
    </row>
    <row r="638" ht="12.75" customHeight="1">
      <c r="C638" s="14"/>
    </row>
    <row r="639" ht="12.75" customHeight="1">
      <c r="C639" s="14"/>
    </row>
    <row r="640" ht="12.75" customHeight="1">
      <c r="C640" s="14"/>
    </row>
    <row r="641" ht="12.75" customHeight="1">
      <c r="C641" s="14"/>
    </row>
    <row r="642" ht="12.75" customHeight="1">
      <c r="C642" s="14"/>
    </row>
    <row r="643" ht="12.75" customHeight="1">
      <c r="C643" s="14"/>
    </row>
    <row r="644" ht="12.75" customHeight="1">
      <c r="C644" s="14"/>
    </row>
    <row r="645" ht="12.75" customHeight="1">
      <c r="C645" s="14"/>
    </row>
    <row r="646" ht="12.75" customHeight="1">
      <c r="C646" s="14"/>
    </row>
    <row r="647" ht="12.75" customHeight="1">
      <c r="C647" s="14"/>
    </row>
    <row r="648" ht="12.75" customHeight="1">
      <c r="C648" s="14"/>
    </row>
    <row r="649" ht="12.75" customHeight="1">
      <c r="C649" s="14"/>
    </row>
    <row r="650" ht="12.75" customHeight="1">
      <c r="C650" s="14"/>
    </row>
    <row r="651" ht="12.75" customHeight="1">
      <c r="C651" s="14"/>
    </row>
    <row r="652" ht="12.75" customHeight="1">
      <c r="C652" s="14"/>
    </row>
    <row r="653" ht="12.75" customHeight="1">
      <c r="C653" s="14"/>
    </row>
    <row r="654" ht="12.75" customHeight="1">
      <c r="C654" s="14"/>
    </row>
    <row r="655" ht="12.75" customHeight="1">
      <c r="C655" s="14"/>
    </row>
    <row r="656" ht="12.75" customHeight="1">
      <c r="C656" s="14"/>
    </row>
    <row r="657" ht="12.75" customHeight="1">
      <c r="C657" s="14"/>
    </row>
    <row r="658" ht="12.75" customHeight="1">
      <c r="C658" s="14"/>
    </row>
    <row r="659" ht="12.75" customHeight="1">
      <c r="C659" s="14"/>
    </row>
    <row r="660" ht="12.75" customHeight="1">
      <c r="C660" s="14"/>
    </row>
    <row r="661" ht="12.75" customHeight="1">
      <c r="C661" s="14"/>
    </row>
    <row r="662" ht="12.75" customHeight="1">
      <c r="C662" s="14"/>
    </row>
    <row r="663" ht="12.75" customHeight="1">
      <c r="C663" s="14"/>
    </row>
    <row r="664" ht="12.75" customHeight="1">
      <c r="C664" s="14"/>
    </row>
    <row r="665" ht="12.75" customHeight="1">
      <c r="C665" s="14"/>
    </row>
    <row r="666" ht="12.75" customHeight="1">
      <c r="C666" s="14"/>
    </row>
    <row r="667" ht="12.75" customHeight="1">
      <c r="C667" s="14"/>
    </row>
    <row r="668" ht="12.75" customHeight="1">
      <c r="C668" s="14"/>
    </row>
    <row r="669" ht="12.75" customHeight="1">
      <c r="C669" s="14"/>
    </row>
    <row r="670" ht="12.75" customHeight="1">
      <c r="C670" s="14"/>
    </row>
    <row r="671" ht="12.75" customHeight="1">
      <c r="C671" s="14"/>
    </row>
    <row r="672" ht="12.75" customHeight="1">
      <c r="C672" s="14"/>
    </row>
    <row r="673" ht="12.75" customHeight="1">
      <c r="C673" s="14"/>
    </row>
    <row r="674" ht="12.75" customHeight="1">
      <c r="C674" s="14"/>
    </row>
    <row r="675" ht="12.75" customHeight="1">
      <c r="C675" s="14"/>
    </row>
    <row r="676" ht="12.75" customHeight="1">
      <c r="C676" s="14"/>
    </row>
    <row r="677" ht="12.75" customHeight="1">
      <c r="C677" s="14"/>
    </row>
    <row r="678" ht="12.75" customHeight="1">
      <c r="C678" s="14"/>
    </row>
    <row r="679" ht="12.75" customHeight="1">
      <c r="C679" s="14"/>
    </row>
    <row r="680" ht="12.75" customHeight="1">
      <c r="C680" s="14"/>
    </row>
    <row r="681" ht="12.75" customHeight="1">
      <c r="C681" s="14"/>
    </row>
    <row r="682" ht="12.75" customHeight="1">
      <c r="C682" s="14"/>
    </row>
    <row r="683" ht="12.75" customHeight="1">
      <c r="C683" s="14"/>
    </row>
    <row r="684" ht="12.75" customHeight="1">
      <c r="C684" s="14"/>
    </row>
    <row r="685" ht="12.75" customHeight="1">
      <c r="C685" s="14"/>
    </row>
    <row r="686" ht="12.75" customHeight="1">
      <c r="C686" s="14"/>
    </row>
    <row r="687" ht="12.75" customHeight="1">
      <c r="C687" s="14"/>
    </row>
    <row r="688" ht="12.75" customHeight="1">
      <c r="C688" s="14"/>
    </row>
    <row r="689" ht="12.75" customHeight="1">
      <c r="C689" s="14"/>
    </row>
    <row r="690" ht="12.75" customHeight="1">
      <c r="C690" s="14"/>
    </row>
    <row r="691" ht="12.75" customHeight="1">
      <c r="C691" s="14"/>
    </row>
    <row r="692" ht="12.75" customHeight="1">
      <c r="C692" s="14"/>
    </row>
    <row r="693" ht="12.75" customHeight="1">
      <c r="C693" s="14"/>
    </row>
    <row r="694" ht="12.75" customHeight="1">
      <c r="C694" s="14"/>
    </row>
    <row r="695" ht="12.75" customHeight="1">
      <c r="C695" s="14"/>
    </row>
    <row r="696" ht="12.75" customHeight="1">
      <c r="C696" s="14"/>
    </row>
    <row r="697" ht="12.75" customHeight="1">
      <c r="C697" s="14"/>
    </row>
    <row r="698" ht="12.75" customHeight="1">
      <c r="C698" s="14"/>
    </row>
    <row r="699" ht="12.75" customHeight="1">
      <c r="C699" s="14"/>
    </row>
    <row r="700" ht="12.75" customHeight="1">
      <c r="C700" s="14"/>
    </row>
    <row r="701" ht="12.75" customHeight="1">
      <c r="C701" s="14"/>
    </row>
    <row r="702" ht="12.75" customHeight="1">
      <c r="C702" s="14"/>
    </row>
    <row r="703" ht="12.75" customHeight="1">
      <c r="C703" s="14"/>
    </row>
    <row r="704" ht="12.75" customHeight="1">
      <c r="C704" s="14"/>
    </row>
    <row r="705" ht="12.75" customHeight="1">
      <c r="C705" s="14"/>
    </row>
    <row r="706" ht="12.75" customHeight="1">
      <c r="C706" s="14"/>
    </row>
    <row r="707" ht="12.75" customHeight="1">
      <c r="C707" s="14"/>
    </row>
    <row r="708" ht="12.75" customHeight="1">
      <c r="C708" s="14"/>
    </row>
    <row r="709" ht="12.75" customHeight="1">
      <c r="C709" s="14"/>
    </row>
    <row r="710" ht="12.75" customHeight="1">
      <c r="C710" s="14"/>
    </row>
    <row r="711" ht="12.75" customHeight="1">
      <c r="C711" s="14"/>
    </row>
    <row r="712" ht="12.75" customHeight="1">
      <c r="C712" s="14"/>
    </row>
    <row r="713" ht="12.75" customHeight="1">
      <c r="C713" s="14"/>
    </row>
    <row r="714" ht="12.75" customHeight="1">
      <c r="C714" s="14"/>
    </row>
    <row r="715" ht="12.75" customHeight="1">
      <c r="C715" s="14"/>
    </row>
    <row r="716" ht="12.75" customHeight="1">
      <c r="C716" s="14"/>
    </row>
    <row r="717" ht="12.75" customHeight="1">
      <c r="C717" s="14"/>
    </row>
    <row r="718" ht="12.75" customHeight="1">
      <c r="C718" s="14"/>
    </row>
    <row r="719" ht="12.75" customHeight="1">
      <c r="C719" s="14"/>
    </row>
    <row r="720" ht="12.75" customHeight="1">
      <c r="C720" s="14"/>
    </row>
    <row r="721" ht="12.75" customHeight="1">
      <c r="C721" s="14"/>
    </row>
    <row r="722" ht="12.75" customHeight="1">
      <c r="C722" s="14"/>
    </row>
    <row r="723" ht="12.75" customHeight="1">
      <c r="C723" s="14"/>
    </row>
    <row r="724" ht="12.75" customHeight="1">
      <c r="C724" s="14"/>
    </row>
    <row r="725" ht="12.75" customHeight="1">
      <c r="C725" s="14"/>
    </row>
    <row r="726" ht="12.75" customHeight="1">
      <c r="C726" s="14"/>
    </row>
    <row r="727" ht="12.75" customHeight="1">
      <c r="C727" s="14"/>
    </row>
    <row r="728" ht="12.75" customHeight="1">
      <c r="C728" s="14"/>
    </row>
    <row r="729" ht="12.75" customHeight="1">
      <c r="C729" s="14"/>
    </row>
    <row r="730" ht="12.75" customHeight="1">
      <c r="C730" s="14"/>
    </row>
    <row r="731" ht="12.75" customHeight="1">
      <c r="C731" s="14"/>
    </row>
    <row r="732" ht="12.75" customHeight="1">
      <c r="C732" s="14"/>
    </row>
    <row r="733" ht="12.75" customHeight="1">
      <c r="C733" s="14"/>
    </row>
    <row r="734" ht="12.75" customHeight="1">
      <c r="C734" s="14"/>
    </row>
    <row r="735" ht="12.75" customHeight="1">
      <c r="C735" s="14"/>
    </row>
    <row r="736" ht="12.75" customHeight="1">
      <c r="C736" s="14"/>
    </row>
    <row r="737" ht="12.75" customHeight="1">
      <c r="C737" s="14"/>
    </row>
    <row r="738" ht="12.75" customHeight="1">
      <c r="C738" s="14"/>
    </row>
    <row r="739" ht="12.75" customHeight="1">
      <c r="C739" s="14"/>
    </row>
    <row r="740" ht="12.75" customHeight="1">
      <c r="C740" s="14"/>
    </row>
    <row r="741" ht="12.75" customHeight="1">
      <c r="C741" s="14"/>
    </row>
    <row r="742" ht="12.75" customHeight="1">
      <c r="C742" s="14"/>
    </row>
    <row r="743" ht="12.75" customHeight="1">
      <c r="C743" s="14"/>
    </row>
    <row r="744" ht="12.75" customHeight="1">
      <c r="C744" s="14"/>
    </row>
    <row r="745" ht="12.75" customHeight="1">
      <c r="C745" s="14"/>
    </row>
    <row r="746" ht="12.75" customHeight="1">
      <c r="C746" s="14"/>
    </row>
    <row r="747" ht="12.75" customHeight="1">
      <c r="C747" s="14"/>
    </row>
    <row r="748" ht="12.75" customHeight="1">
      <c r="C748" s="14"/>
    </row>
    <row r="749" ht="12.75" customHeight="1">
      <c r="C749" s="14"/>
    </row>
    <row r="750" ht="12.75" customHeight="1">
      <c r="C750" s="14"/>
    </row>
    <row r="751" ht="12.75" customHeight="1">
      <c r="C751" s="14"/>
    </row>
    <row r="752" ht="12.75" customHeight="1">
      <c r="C752" s="14"/>
    </row>
    <row r="753" ht="12.75" customHeight="1">
      <c r="C753" s="14"/>
    </row>
    <row r="754" ht="12.75" customHeight="1">
      <c r="C754" s="14"/>
    </row>
    <row r="755" ht="12.75" customHeight="1">
      <c r="C755" s="14"/>
    </row>
    <row r="756" ht="12.75" customHeight="1">
      <c r="C756" s="14"/>
    </row>
    <row r="757" ht="12.75" customHeight="1">
      <c r="C757" s="14"/>
    </row>
    <row r="758" ht="12.75" customHeight="1">
      <c r="C758" s="14"/>
    </row>
    <row r="759" ht="12.75" customHeight="1">
      <c r="C759" s="14"/>
    </row>
    <row r="760" ht="12.75" customHeight="1">
      <c r="C760" s="14"/>
    </row>
    <row r="761" ht="12.75" customHeight="1">
      <c r="C761" s="14"/>
    </row>
    <row r="762" ht="12.75" customHeight="1">
      <c r="C762" s="14"/>
    </row>
    <row r="763" ht="12.75" customHeight="1">
      <c r="C763" s="14"/>
    </row>
    <row r="764" ht="12.75" customHeight="1">
      <c r="C764" s="14"/>
    </row>
    <row r="765" ht="12.75" customHeight="1">
      <c r="C765" s="14"/>
    </row>
    <row r="766" ht="12.75" customHeight="1">
      <c r="C766" s="14"/>
    </row>
    <row r="767" ht="12.75" customHeight="1">
      <c r="C767" s="14"/>
    </row>
    <row r="768" ht="12.75" customHeight="1">
      <c r="C768" s="14"/>
    </row>
    <row r="769" ht="12.75" customHeight="1">
      <c r="C769" s="14"/>
    </row>
    <row r="770" ht="12.75" customHeight="1">
      <c r="C770" s="14"/>
    </row>
    <row r="771" ht="12.75" customHeight="1">
      <c r="C771" s="14"/>
    </row>
    <row r="772" ht="12.75" customHeight="1">
      <c r="C772" s="14"/>
    </row>
    <row r="773" ht="12.75" customHeight="1">
      <c r="C773" s="14"/>
    </row>
    <row r="774" ht="12.75" customHeight="1">
      <c r="C774" s="14"/>
    </row>
    <row r="775" ht="12.75" customHeight="1">
      <c r="C775" s="14"/>
    </row>
    <row r="776" ht="12.75" customHeight="1">
      <c r="C776" s="14"/>
    </row>
    <row r="777" ht="12.75" customHeight="1">
      <c r="C777" s="14"/>
    </row>
    <row r="778" ht="12.75" customHeight="1">
      <c r="C778" s="14"/>
    </row>
    <row r="779" ht="12.75" customHeight="1">
      <c r="C779" s="14"/>
    </row>
    <row r="780" ht="12.75" customHeight="1">
      <c r="C780" s="14"/>
    </row>
    <row r="781" ht="12.75" customHeight="1">
      <c r="C781" s="14"/>
    </row>
    <row r="782" ht="12.75" customHeight="1">
      <c r="C782" s="14"/>
    </row>
    <row r="783" ht="12.75" customHeight="1">
      <c r="C783" s="14"/>
    </row>
    <row r="784" ht="12.75" customHeight="1">
      <c r="C784" s="14"/>
    </row>
    <row r="785" ht="12.75" customHeight="1">
      <c r="C785" s="14"/>
    </row>
    <row r="786" ht="12.75" customHeight="1">
      <c r="C786" s="14"/>
    </row>
    <row r="787" ht="12.75" customHeight="1">
      <c r="C787" s="14"/>
    </row>
    <row r="788" ht="12.75" customHeight="1">
      <c r="C788" s="14"/>
    </row>
    <row r="789" ht="12.75" customHeight="1">
      <c r="C789" s="14"/>
    </row>
    <row r="790" ht="12.75" customHeight="1">
      <c r="C790" s="14"/>
    </row>
    <row r="791" ht="12.75" customHeight="1">
      <c r="C791" s="14"/>
    </row>
    <row r="792" ht="12.75" customHeight="1">
      <c r="C792" s="14"/>
    </row>
    <row r="793" ht="12.75" customHeight="1">
      <c r="C793" s="14"/>
    </row>
    <row r="794" ht="12.75" customHeight="1">
      <c r="C794" s="14"/>
    </row>
    <row r="795" ht="12.75" customHeight="1">
      <c r="C795" s="14"/>
    </row>
    <row r="796" ht="12.75" customHeight="1">
      <c r="C796" s="14"/>
    </row>
    <row r="797" ht="12.75" customHeight="1">
      <c r="C797" s="14"/>
    </row>
    <row r="798" ht="12.75" customHeight="1">
      <c r="C798" s="14"/>
    </row>
    <row r="799" ht="12.75" customHeight="1">
      <c r="C799" s="14"/>
    </row>
    <row r="800" ht="12.75" customHeight="1">
      <c r="C800" s="14"/>
    </row>
    <row r="801" ht="12.75" customHeight="1">
      <c r="C801" s="14"/>
    </row>
    <row r="802" ht="12.75" customHeight="1">
      <c r="C802" s="14"/>
    </row>
    <row r="803" ht="12.75" customHeight="1">
      <c r="C803" s="14"/>
    </row>
    <row r="804" ht="12.75" customHeight="1">
      <c r="C804" s="14"/>
    </row>
    <row r="805" ht="12.75" customHeight="1">
      <c r="C805" s="14"/>
    </row>
    <row r="806" ht="12.75" customHeight="1">
      <c r="C806" s="14"/>
    </row>
    <row r="807" ht="12.75" customHeight="1">
      <c r="C807" s="14"/>
    </row>
    <row r="808" ht="12.75" customHeight="1">
      <c r="C808" s="14"/>
    </row>
    <row r="809" ht="12.75" customHeight="1">
      <c r="C809" s="14"/>
    </row>
    <row r="810" ht="12.75" customHeight="1">
      <c r="C810" s="14"/>
    </row>
    <row r="811" ht="12.75" customHeight="1">
      <c r="C811" s="14"/>
    </row>
    <row r="812" ht="12.75" customHeight="1">
      <c r="C812" s="14"/>
    </row>
    <row r="813" ht="12.75" customHeight="1">
      <c r="C813" s="14"/>
    </row>
    <row r="814" ht="12.75" customHeight="1">
      <c r="C814" s="14"/>
    </row>
    <row r="815" ht="12.75" customHeight="1">
      <c r="C815" s="14"/>
    </row>
    <row r="816" ht="12.75" customHeight="1">
      <c r="C816" s="14"/>
    </row>
    <row r="817" ht="12.75" customHeight="1">
      <c r="C817" s="14"/>
    </row>
    <row r="818" ht="12.75" customHeight="1">
      <c r="C818" s="14"/>
    </row>
    <row r="819" ht="12.75" customHeight="1">
      <c r="C819" s="14"/>
    </row>
    <row r="820" ht="12.75" customHeight="1">
      <c r="C820" s="14"/>
    </row>
    <row r="821" ht="12.75" customHeight="1">
      <c r="C821" s="14"/>
    </row>
    <row r="822" ht="12.75" customHeight="1">
      <c r="C822" s="14"/>
    </row>
    <row r="823" ht="12.75" customHeight="1">
      <c r="C823" s="14"/>
    </row>
    <row r="824" ht="12.75" customHeight="1">
      <c r="C824" s="14"/>
    </row>
    <row r="825" ht="12.75" customHeight="1">
      <c r="C825" s="14"/>
    </row>
    <row r="826" ht="12.75" customHeight="1">
      <c r="C826" s="14"/>
    </row>
    <row r="827" ht="12.75" customHeight="1">
      <c r="C827" s="14"/>
    </row>
    <row r="828" ht="12.75" customHeight="1">
      <c r="C828" s="14"/>
    </row>
    <row r="829" ht="12.75" customHeight="1">
      <c r="C829" s="14"/>
    </row>
    <row r="830" ht="12.75" customHeight="1">
      <c r="C830" s="14"/>
    </row>
    <row r="831" ht="12.75" customHeight="1">
      <c r="C831" s="14"/>
    </row>
    <row r="832" ht="12.75" customHeight="1">
      <c r="C832" s="14"/>
    </row>
    <row r="833" ht="12.75" customHeight="1">
      <c r="C833" s="14"/>
    </row>
    <row r="834" ht="12.75" customHeight="1">
      <c r="C834" s="14"/>
    </row>
    <row r="835" ht="12.75" customHeight="1">
      <c r="C835" s="14"/>
    </row>
    <row r="836" ht="12.75" customHeight="1">
      <c r="C836" s="14"/>
    </row>
    <row r="837" ht="12.75" customHeight="1">
      <c r="C837" s="14"/>
    </row>
    <row r="838" ht="12.75" customHeight="1">
      <c r="C838" s="14"/>
    </row>
    <row r="839" ht="12.75" customHeight="1">
      <c r="C839" s="14"/>
    </row>
    <row r="840" ht="12.75" customHeight="1">
      <c r="C840" s="14"/>
    </row>
    <row r="841" ht="12.75" customHeight="1">
      <c r="C841" s="14"/>
    </row>
    <row r="842" ht="12.75" customHeight="1">
      <c r="C842" s="14"/>
    </row>
    <row r="843" ht="12.75" customHeight="1">
      <c r="C843" s="14"/>
    </row>
    <row r="844" ht="12.75" customHeight="1">
      <c r="C844" s="14"/>
    </row>
    <row r="845" ht="12.75" customHeight="1">
      <c r="C845" s="14"/>
    </row>
    <row r="846" ht="12.75" customHeight="1">
      <c r="C846" s="14"/>
    </row>
    <row r="847" ht="12.75" customHeight="1">
      <c r="C847" s="14"/>
    </row>
    <row r="848" ht="12.75" customHeight="1">
      <c r="C848" s="14"/>
    </row>
    <row r="849" ht="12.75" customHeight="1">
      <c r="C849" s="14"/>
    </row>
    <row r="850" ht="12.75" customHeight="1">
      <c r="C850" s="14"/>
    </row>
    <row r="851" ht="12.75" customHeight="1">
      <c r="C851" s="14"/>
    </row>
    <row r="852" ht="12.75" customHeight="1">
      <c r="C852" s="14"/>
    </row>
    <row r="853" ht="12.75" customHeight="1">
      <c r="C853" s="14"/>
    </row>
    <row r="854" ht="12.75" customHeight="1">
      <c r="C854" s="14"/>
    </row>
    <row r="855" ht="12.75" customHeight="1">
      <c r="C855" s="14"/>
    </row>
    <row r="856" ht="12.75" customHeight="1">
      <c r="C856" s="14"/>
    </row>
    <row r="857" ht="12.75" customHeight="1">
      <c r="C857" s="14"/>
    </row>
    <row r="858" ht="12.75" customHeight="1">
      <c r="C858" s="14"/>
    </row>
    <row r="859" ht="12.75" customHeight="1">
      <c r="C859" s="14"/>
    </row>
    <row r="860" ht="12.75" customHeight="1">
      <c r="C860" s="14"/>
    </row>
    <row r="861" ht="12.75" customHeight="1">
      <c r="C861" s="14"/>
    </row>
    <row r="862" ht="12.75" customHeight="1">
      <c r="C862" s="14"/>
    </row>
    <row r="863" ht="12.75" customHeight="1">
      <c r="C863" s="14"/>
    </row>
    <row r="864" ht="12.75" customHeight="1">
      <c r="C864" s="14"/>
    </row>
    <row r="865" ht="12.75" customHeight="1">
      <c r="C865" s="14"/>
    </row>
    <row r="866" ht="12.75" customHeight="1">
      <c r="C866" s="14"/>
    </row>
    <row r="867" ht="12.75" customHeight="1">
      <c r="C867" s="14"/>
    </row>
    <row r="868" ht="12.75" customHeight="1">
      <c r="C868" s="14"/>
    </row>
    <row r="869" ht="12.75" customHeight="1">
      <c r="C869" s="14"/>
    </row>
    <row r="870" ht="12.75" customHeight="1">
      <c r="C870" s="14"/>
    </row>
    <row r="871" ht="12.75" customHeight="1">
      <c r="C871" s="14"/>
    </row>
    <row r="872" ht="12.75" customHeight="1">
      <c r="C872" s="14"/>
    </row>
    <row r="873" ht="12.75" customHeight="1">
      <c r="C873" s="14"/>
    </row>
    <row r="874" ht="12.75" customHeight="1">
      <c r="C874" s="14"/>
    </row>
    <row r="875" ht="12.75" customHeight="1">
      <c r="C875" s="14"/>
    </row>
    <row r="876" ht="12.75" customHeight="1">
      <c r="C876" s="14"/>
    </row>
    <row r="877" ht="12.75" customHeight="1">
      <c r="C877" s="14"/>
    </row>
    <row r="878" ht="12.75" customHeight="1">
      <c r="C878" s="14"/>
    </row>
    <row r="879" ht="12.75" customHeight="1">
      <c r="C879" s="14"/>
    </row>
    <row r="880" ht="12.75" customHeight="1">
      <c r="C880" s="14"/>
    </row>
    <row r="881" ht="12.75" customHeight="1">
      <c r="C881" s="14"/>
    </row>
    <row r="882" ht="12.75" customHeight="1">
      <c r="C882" s="14"/>
    </row>
    <row r="883" ht="12.75" customHeight="1">
      <c r="C883" s="14"/>
    </row>
    <row r="884" ht="12.75" customHeight="1">
      <c r="C884" s="14"/>
    </row>
    <row r="885" ht="12.75" customHeight="1">
      <c r="C885" s="14"/>
    </row>
    <row r="886" ht="12.75" customHeight="1">
      <c r="C886" s="14"/>
    </row>
    <row r="887" ht="12.75" customHeight="1">
      <c r="C887" s="14"/>
    </row>
    <row r="888" ht="12.75" customHeight="1">
      <c r="C888" s="14"/>
    </row>
    <row r="889" ht="12.75" customHeight="1">
      <c r="C889" s="14"/>
    </row>
    <row r="890" ht="12.75" customHeight="1">
      <c r="C890" s="14"/>
    </row>
    <row r="891" ht="12.75" customHeight="1">
      <c r="C891" s="14"/>
    </row>
    <row r="892" ht="12.75" customHeight="1">
      <c r="C892" s="14"/>
    </row>
    <row r="893" ht="12.75" customHeight="1">
      <c r="C893" s="14"/>
    </row>
    <row r="894" ht="12.75" customHeight="1">
      <c r="C894" s="14"/>
    </row>
    <row r="895" ht="12.75" customHeight="1">
      <c r="C895" s="14"/>
    </row>
    <row r="896" ht="12.75" customHeight="1">
      <c r="C896" s="14"/>
    </row>
    <row r="897" ht="12.75" customHeight="1">
      <c r="C897" s="14"/>
    </row>
    <row r="898" ht="12.75" customHeight="1">
      <c r="C898" s="14"/>
    </row>
    <row r="899" ht="12.75" customHeight="1">
      <c r="C899" s="14"/>
    </row>
    <row r="900" ht="12.75" customHeight="1">
      <c r="C900" s="14"/>
    </row>
    <row r="901" ht="12.75" customHeight="1">
      <c r="C901" s="14"/>
    </row>
    <row r="902" ht="12.75" customHeight="1">
      <c r="C902" s="14"/>
    </row>
    <row r="903" ht="12.75" customHeight="1">
      <c r="C903" s="14"/>
    </row>
    <row r="904" ht="12.75" customHeight="1">
      <c r="C904" s="14"/>
    </row>
    <row r="905" ht="12.75" customHeight="1">
      <c r="C905" s="14"/>
    </row>
    <row r="906" ht="12.75" customHeight="1">
      <c r="C906" s="14"/>
    </row>
    <row r="907" ht="12.75" customHeight="1">
      <c r="C907" s="14"/>
    </row>
    <row r="908" ht="12.75" customHeight="1">
      <c r="C908" s="14"/>
    </row>
    <row r="909" ht="12.75" customHeight="1">
      <c r="C909" s="14"/>
    </row>
    <row r="910" ht="12.75" customHeight="1">
      <c r="C910" s="14"/>
    </row>
    <row r="911" ht="12.75" customHeight="1">
      <c r="C911" s="14"/>
    </row>
    <row r="912" ht="12.75" customHeight="1">
      <c r="C912" s="14"/>
    </row>
    <row r="913" ht="12.75" customHeight="1">
      <c r="C913" s="14"/>
    </row>
    <row r="914" ht="12.75" customHeight="1">
      <c r="C914" s="14"/>
    </row>
    <row r="915" ht="12.75" customHeight="1">
      <c r="C915" s="14"/>
    </row>
    <row r="916" ht="12.75" customHeight="1">
      <c r="C916" s="14"/>
    </row>
    <row r="917" ht="12.75" customHeight="1">
      <c r="C917" s="14"/>
    </row>
    <row r="918" ht="12.75" customHeight="1">
      <c r="C918" s="14"/>
    </row>
    <row r="919" ht="12.75" customHeight="1">
      <c r="C919" s="14"/>
    </row>
    <row r="920" ht="12.75" customHeight="1">
      <c r="C920" s="14"/>
    </row>
    <row r="921" ht="12.75" customHeight="1">
      <c r="C921" s="14"/>
    </row>
    <row r="922" ht="12.75" customHeight="1">
      <c r="C922" s="14"/>
    </row>
    <row r="923" ht="12.75" customHeight="1">
      <c r="C923" s="14"/>
    </row>
    <row r="924" ht="12.75" customHeight="1">
      <c r="C924" s="14"/>
    </row>
    <row r="925" ht="12.75" customHeight="1">
      <c r="C925" s="14"/>
    </row>
    <row r="926" ht="12.75" customHeight="1">
      <c r="C926" s="14"/>
    </row>
    <row r="927" ht="12.75" customHeight="1">
      <c r="C927" s="14"/>
    </row>
    <row r="928" ht="12.75" customHeight="1">
      <c r="C928" s="14"/>
    </row>
    <row r="929" ht="12.75" customHeight="1">
      <c r="C929" s="14"/>
    </row>
    <row r="930" ht="12.75" customHeight="1">
      <c r="C930" s="14"/>
    </row>
    <row r="931" ht="12.75" customHeight="1">
      <c r="C931" s="14"/>
    </row>
    <row r="932" ht="12.75" customHeight="1">
      <c r="C932" s="14"/>
    </row>
    <row r="933" ht="12.75" customHeight="1">
      <c r="C933" s="14"/>
    </row>
    <row r="934" ht="12.75" customHeight="1">
      <c r="C934" s="14"/>
    </row>
    <row r="935" ht="12.75" customHeight="1">
      <c r="C935" s="14"/>
    </row>
    <row r="936" ht="12.75" customHeight="1">
      <c r="C936" s="14"/>
    </row>
    <row r="937" ht="12.75" customHeight="1">
      <c r="C937" s="14"/>
    </row>
    <row r="938" ht="12.75" customHeight="1">
      <c r="C938" s="14"/>
    </row>
    <row r="939" ht="12.75" customHeight="1">
      <c r="C939" s="14"/>
    </row>
    <row r="940" ht="12.75" customHeight="1">
      <c r="C940" s="14"/>
    </row>
    <row r="941" ht="12.75" customHeight="1">
      <c r="C941" s="14"/>
    </row>
    <row r="942" ht="12.75" customHeight="1">
      <c r="C942" s="14"/>
    </row>
    <row r="943" ht="12.75" customHeight="1">
      <c r="C943" s="14"/>
    </row>
    <row r="944" ht="12.75" customHeight="1">
      <c r="C944" s="14"/>
    </row>
    <row r="945" ht="12.75" customHeight="1">
      <c r="C945" s="14"/>
    </row>
    <row r="946" ht="12.75" customHeight="1">
      <c r="C946" s="14"/>
    </row>
    <row r="947" ht="12.75" customHeight="1">
      <c r="C947" s="14"/>
    </row>
    <row r="948" ht="12.75" customHeight="1">
      <c r="C948" s="14"/>
    </row>
    <row r="949" ht="12.75" customHeight="1">
      <c r="C949" s="14"/>
    </row>
    <row r="950" ht="12.75" customHeight="1">
      <c r="C950" s="14"/>
    </row>
    <row r="951" ht="12.75" customHeight="1">
      <c r="C951" s="14"/>
    </row>
    <row r="952" ht="12.75" customHeight="1">
      <c r="C952" s="14"/>
    </row>
    <row r="953" ht="12.75" customHeight="1">
      <c r="C953" s="14"/>
    </row>
    <row r="954" ht="12.75" customHeight="1">
      <c r="C954" s="14"/>
    </row>
    <row r="955" ht="12.75" customHeight="1">
      <c r="C955" s="14"/>
    </row>
    <row r="956" ht="12.75" customHeight="1">
      <c r="C956" s="14"/>
    </row>
    <row r="957" ht="12.75" customHeight="1">
      <c r="C957" s="14"/>
    </row>
    <row r="958" ht="12.75" customHeight="1">
      <c r="C958" s="14"/>
    </row>
    <row r="959" ht="12.75" customHeight="1">
      <c r="C959" s="14"/>
    </row>
    <row r="960" ht="12.75" customHeight="1">
      <c r="C960" s="14"/>
    </row>
    <row r="961" ht="12.75" customHeight="1">
      <c r="C961" s="14"/>
    </row>
    <row r="962" ht="12.75" customHeight="1">
      <c r="C962" s="14"/>
    </row>
    <row r="963" ht="12.75" customHeight="1">
      <c r="C963" s="14"/>
    </row>
    <row r="964" ht="12.75" customHeight="1">
      <c r="C964" s="14"/>
    </row>
    <row r="965" ht="12.75" customHeight="1">
      <c r="C965" s="14"/>
    </row>
    <row r="966" ht="12.75" customHeight="1">
      <c r="C966" s="14"/>
    </row>
    <row r="967" ht="12.75" customHeight="1">
      <c r="C967" s="14"/>
    </row>
    <row r="968" ht="12.75" customHeight="1">
      <c r="C968" s="14"/>
    </row>
    <row r="969" ht="12.75" customHeight="1">
      <c r="C969" s="14"/>
    </row>
    <row r="970" ht="12.75" customHeight="1">
      <c r="C970" s="14"/>
    </row>
    <row r="971" ht="12.75" customHeight="1">
      <c r="C971" s="14"/>
    </row>
    <row r="972" ht="12.75" customHeight="1">
      <c r="C972" s="14"/>
    </row>
    <row r="973" ht="12.75" customHeight="1">
      <c r="C973" s="14"/>
    </row>
    <row r="974" ht="12.75" customHeight="1">
      <c r="C974" s="14"/>
    </row>
    <row r="975" ht="12.75" customHeight="1">
      <c r="C975" s="14"/>
    </row>
    <row r="976" ht="12.75" customHeight="1">
      <c r="C976" s="14"/>
    </row>
    <row r="977" ht="12.75" customHeight="1">
      <c r="C977" s="14"/>
    </row>
    <row r="978" ht="12.75" customHeight="1">
      <c r="C978" s="14"/>
    </row>
    <row r="979" ht="12.75" customHeight="1">
      <c r="C979" s="14"/>
    </row>
    <row r="980" ht="12.75" customHeight="1">
      <c r="C980" s="14"/>
    </row>
    <row r="981" ht="12.75" customHeight="1">
      <c r="C981" s="14"/>
    </row>
    <row r="982" ht="12.75" customHeight="1">
      <c r="C982" s="14"/>
    </row>
    <row r="983" ht="12.75" customHeight="1">
      <c r="C983" s="14"/>
    </row>
    <row r="984" ht="12.75" customHeight="1">
      <c r="C984" s="14"/>
    </row>
    <row r="985" ht="12.75" customHeight="1">
      <c r="C985" s="14"/>
    </row>
    <row r="986" ht="12.75" customHeight="1">
      <c r="C986" s="14"/>
    </row>
    <row r="987" ht="12.75" customHeight="1">
      <c r="C987" s="14"/>
    </row>
    <row r="988" ht="12.75" customHeight="1">
      <c r="C988" s="14"/>
    </row>
    <row r="989" ht="12.75" customHeight="1">
      <c r="C989" s="14"/>
    </row>
    <row r="990" ht="12.75" customHeight="1">
      <c r="C990" s="14"/>
    </row>
    <row r="991" ht="12.75" customHeight="1">
      <c r="C991" s="14"/>
    </row>
    <row r="992" ht="12.75" customHeight="1">
      <c r="C992" s="14"/>
    </row>
    <row r="993" ht="12.75" customHeight="1">
      <c r="C993" s="14"/>
    </row>
    <row r="994" ht="12.75" customHeight="1">
      <c r="C994" s="14"/>
    </row>
    <row r="995" ht="12.75" customHeight="1">
      <c r="C995" s="14"/>
    </row>
    <row r="996" ht="12.75" customHeight="1">
      <c r="C996" s="14"/>
    </row>
    <row r="997" ht="12.75" customHeight="1">
      <c r="C997" s="14"/>
    </row>
    <row r="998" ht="12.75" customHeight="1">
      <c r="C998" s="14"/>
    </row>
    <row r="999" ht="12.75" customHeight="1">
      <c r="C999" s="14"/>
    </row>
    <row r="1000" ht="12.75" customHeight="1">
      <c r="C1000" s="14"/>
    </row>
    <row r="1001" ht="12.75" customHeight="1">
      <c r="C1001" s="14"/>
    </row>
    <row r="1002" ht="12.75" customHeight="1">
      <c r="C1002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95.29"/>
    <col customWidth="1" min="3" max="3" width="3.29"/>
    <col customWidth="1" min="4" max="4" width="49.43"/>
    <col customWidth="1" min="5" max="5" width="84.71"/>
    <col customWidth="1" min="6" max="26" width="8.71"/>
  </cols>
  <sheetData>
    <row r="1" ht="12.75" customHeight="1">
      <c r="A1" s="70" t="s">
        <v>717</v>
      </c>
      <c r="B1" s="5"/>
      <c r="C1" s="84"/>
      <c r="D1" s="5"/>
      <c r="E1" s="5"/>
    </row>
    <row r="2" ht="12.75" customHeight="1">
      <c r="A2" s="5"/>
      <c r="B2" s="5"/>
      <c r="C2" s="84"/>
      <c r="D2" s="5"/>
      <c r="E2" s="5"/>
    </row>
    <row r="3" ht="12.75" customHeight="1">
      <c r="A3" s="5" t="s">
        <v>1006</v>
      </c>
      <c r="B3" s="5" t="s">
        <v>719</v>
      </c>
      <c r="C3" s="85"/>
      <c r="D3" s="5" t="s">
        <v>1007</v>
      </c>
      <c r="E3" s="5" t="s">
        <v>719</v>
      </c>
    </row>
    <row r="4" ht="12.75" customHeight="1">
      <c r="A4" s="21" t="str">
        <f>'УзлыРесы(1)'!B16</f>
        <v>Алтинова</v>
      </c>
      <c r="B4" s="34" t="str">
        <f>'УзлыРесы(1)'!D16</f>
        <v>Золотые слитки, серебро</v>
      </c>
      <c r="C4" s="86"/>
      <c r="D4" s="32" t="str">
        <f>'УзлыРесы(1)'!B17</f>
        <v>Валенсия</v>
      </c>
      <c r="E4" s="34" t="str">
        <f>'УзлыРесы(1)'!D17</f>
        <v>Золотые слитки, серебро</v>
      </c>
    </row>
    <row r="5" ht="12.75" customHeight="1">
      <c r="A5" s="21" t="str">
        <f>'УзлыРесы(1)'!B38</f>
        <v>Деревня Тариффа</v>
      </c>
      <c r="B5" s="34" t="str">
        <f>'УзлыРесы(1)'!D38</f>
        <v>Кувшин заклинателя Тариф</v>
      </c>
      <c r="C5" s="86"/>
      <c r="D5" s="32" t="str">
        <f>'УзлыРесы(1)'!B41</f>
        <v>Шакату</v>
      </c>
      <c r="E5" s="34" t="str">
        <f>'УзлыРесы(1)'!D41</f>
        <v>Золотые слитки, серебро</v>
      </c>
    </row>
    <row r="6" ht="12.75" customHeight="1">
      <c r="A6" s="21" t="str">
        <f>'УзлыРесы(1)'!B39</f>
        <v>Деревня Абун</v>
      </c>
      <c r="B6" s="34" t="str">
        <f>'УзлыРесы(1)'!D39</f>
        <v>Деревянная кукла Абун</v>
      </c>
      <c r="C6" s="86"/>
      <c r="D6" s="32" t="str">
        <f>'УзлыРесы(1)'!B42</f>
        <v>Восточный базар</v>
      </c>
      <c r="E6" s="34" t="str">
        <f>'УзлыРесы(1)'!D42</f>
        <v>Золотые слитки, серебро</v>
      </c>
    </row>
    <row r="7" ht="12.75" customHeight="1">
      <c r="A7" s="21" t="str">
        <f>'УзлыРесы(1)'!B40</f>
        <v>Паучья Деревня</v>
      </c>
      <c r="B7" s="34" t="str">
        <f>'УзлыРесы(1)'!D40</f>
        <v>Сундук с тканями</v>
      </c>
      <c r="C7" s="86"/>
      <c r="D7" s="32" t="str">
        <f>'УзлыРесы(1)'!B44</f>
        <v>Деревня Арехаза</v>
      </c>
      <c r="E7" s="34" t="str">
        <f>'УзлыРесы(1)'!D44</f>
        <v>Ящик с отличными кокосами</v>
      </c>
    </row>
    <row r="8" ht="12.75" customHeight="1">
      <c r="A8" s="21" t="str">
        <f>'УзлыРесы(1)'!L74</f>
        <v>Остров Фильвара</v>
      </c>
      <c r="B8" s="34" t="str">
        <f>'УзлыРесы(1)'!N74</f>
        <v>Сушеный хек/камбала/голубой хирург/барбус ! Круглобрюшек/окунь/голубой хирург/щука</v>
      </c>
      <c r="C8" s="86"/>
      <c r="D8" s="32" t="str">
        <f>'УзлыРесы(1)'!Q72</f>
        <v>Анакреон </v>
      </c>
      <c r="E8" s="34" t="str">
        <f>'УзлыРесы(1)'!S72</f>
        <v>Инжир</v>
      </c>
    </row>
    <row r="9" ht="12.75" customHeight="1">
      <c r="A9" s="21" t="str">
        <f>'УзлыРесы(1)'!L82</f>
        <v>Остров Бэйрува</v>
      </c>
      <c r="B9" s="34" t="str">
        <f>'УзлыРесы(1)'!N82</f>
        <v>Сушеная камбала/дитрем/хек/голубой хирург</v>
      </c>
      <c r="C9" s="86"/>
      <c r="D9" s="32" t="str">
        <f>'УзлыРесы(1)'!G55</f>
        <v>Лагерь клана Басим</v>
      </c>
      <c r="E9" s="34" t="str">
        <f>'УзлыРесы(1)'!I55</f>
        <v>Железная руда, пыль тьмы, грубый черный хрусталь</v>
      </c>
    </row>
    <row r="10" ht="12.75" customHeight="1">
      <c r="A10" s="41" t="str">
        <f>'УзлыРесы(1)'!Q34</f>
        <v>Лавовая пещера (скрытый)</v>
      </c>
      <c r="B10" s="34" t="str">
        <f>'УзлыРесы(1)'!S34</f>
        <v>Цинковая руда, пыль веков, платиновая руда. Уголь, пыль разрушения, грубый рубин</v>
      </c>
      <c r="C10" s="86"/>
      <c r="D10" s="32" t="str">
        <f>'УзлыРесы(1)'!G62</f>
        <v>Храм полумесяца</v>
      </c>
      <c r="E10" s="34" t="str">
        <f>'УзлыРесы(1)'!I62</f>
        <v>Финики. Титан, пыль огня, грубый фиолетовый хрусталь</v>
      </c>
    </row>
    <row r="11" ht="12.75" customHeight="1">
      <c r="A11" s="21" t="str">
        <f>'УзлыРесы(1)'!G4</f>
        <v>Пастбище каменной пустоши</v>
      </c>
      <c r="B11" s="34" t="str">
        <f>'УзлыРесы(1)'!I4</f>
        <v>Соломенный портфель Аслана</v>
      </c>
      <c r="C11" s="86"/>
      <c r="D11" s="32" t="str">
        <f>'УзлыРесы(1)'!G63</f>
        <v>Долина Титума</v>
      </c>
      <c r="E11" s="34" t="str">
        <f>'УзлыРесы(1)'!I63</f>
        <v>Фисташки. Теф. Древесина, сок, доска пальмы</v>
      </c>
    </row>
    <row r="12" ht="12.75" customHeight="1">
      <c r="A12" s="21" t="str">
        <f>'УзлыРесы(1)'!Q38</f>
        <v>Ферма Сури</v>
      </c>
      <c r="B12" s="34" t="str">
        <f>'УзлыРесы(1)'!S38</f>
        <v>Батат, хороший батат, отборный батат. Ящик с отборным бататом</v>
      </c>
      <c r="C12" s="86"/>
      <c r="D12" s="32" t="str">
        <f>'УзлыРесы(1)'!G65</f>
        <v>Серный рудник</v>
      </c>
      <c r="E12" s="34" t="str">
        <f>'УзлыРесы(1)'!I65</f>
        <v>Сера, пыль разрушения, грубый алмаз, синяя сера</v>
      </c>
    </row>
    <row r="13" ht="12.75" customHeight="1">
      <c r="A13" s="21" t="str">
        <f>'УзлыРесы(1)'!Q39</f>
        <v>Ферма Касулы</v>
      </c>
      <c r="B13" s="34" t="str">
        <f>'УзлыРесы(1)'!S39</f>
        <v>Хлопок, хлопковое полотно. Корица. Сундучок Касулы</v>
      </c>
      <c r="C13" s="86"/>
      <c r="D13" s="32" t="str">
        <f>'УзлыРесы(1)'!Q49</f>
        <v>Змеиная пустошь</v>
      </c>
      <c r="E13" s="34" t="str">
        <f>'УзлыРесы(1)'!S49</f>
        <v>Древесина/доска/сок бузины. Фисташки</v>
      </c>
    </row>
    <row r="14" ht="12.75" customHeight="1">
      <c r="A14" s="21" t="str">
        <f>'УзлыРесы(1)'!Q43</f>
        <v>Деревня удильщиков</v>
      </c>
      <c r="B14" s="34" t="str">
        <f>'УзлыРесы(1)'!S43</f>
        <v>Набор рыболова</v>
      </c>
      <c r="C14" s="86"/>
      <c r="D14" s="32" t="str">
        <f>'УзлыРесы(1)'!Q50</f>
        <v>Ущелье скорби</v>
      </c>
      <c r="E14" s="34" t="str">
        <f>'УзлыРесы(1)'!S50</f>
        <v>Древесина/доска/сок бузины.</v>
      </c>
    </row>
    <row r="15" ht="12.75" customHeight="1">
      <c r="A15" s="41" t="str">
        <f>'УзлыРесы(1)'!G45</f>
        <v>Закрытая шахта / Заброшенный железный рудник (скрытый)</v>
      </c>
      <c r="B15" s="34" t="str">
        <f>'УзлыРесы(1)'!I45</f>
        <v>Цинковая, платиновая руда, пыль веков. Железная руда, пыль тьмы, грубый черный хрусталь</v>
      </c>
      <c r="C15" s="86"/>
      <c r="D15" s="32" t="str">
        <f>'УзлыРесы(1)'!Q51</f>
        <v>Владения Куниды</v>
      </c>
      <c r="E15" s="34" t="str">
        <f>'УзлыРесы(1)'!S51</f>
        <v>Грязь, очищенная вода</v>
      </c>
    </row>
    <row r="16" ht="12.75" customHeight="1">
      <c r="A16" s="21" t="str">
        <f>'УзлыРесы(1)'!G46</f>
        <v>Пристанище безумца</v>
      </c>
      <c r="B16" s="34" t="str">
        <f>'УзлыРесы(1)'!I46</f>
        <v>Черноголовка, пучок черноголовки</v>
      </c>
      <c r="C16" s="86"/>
      <c r="D16" s="32" t="str">
        <f>'УзлыРесы(1)'!Q52</f>
        <v>Водопад Рейны</v>
      </c>
      <c r="E16" s="34" t="str">
        <f>'УзлыРесы(1)'!S52</f>
        <v>Грязь, очищенная вода</v>
      </c>
    </row>
    <row r="17" ht="12.75" customHeight="1">
      <c r="A17" s="21" t="str">
        <f>'УзлыРесы(1)'!G49</f>
        <v>Храм Эллик</v>
      </c>
      <c r="B17" s="34" t="str">
        <f>'УзлыРесы(1)'!I49</f>
        <v>Древесина, сок пихты. Сучок кровавого дерева. Волнушка, большая волнушка</v>
      </c>
      <c r="C17" s="86"/>
      <c r="D17" s="32" t="str">
        <f>'УзлыРесы(1)'!Q53</f>
        <v>Ущелье Фуркан</v>
      </c>
      <c r="E17" s="34" t="str">
        <f>'УзлыРесы(1)'!S53</f>
        <v>Медная руда, пыль огня, грубый опал</v>
      </c>
    </row>
    <row r="18" ht="12.75" customHeight="1">
      <c r="A18" s="21" t="str">
        <f>'УзлыРесы(1)'!L75</f>
        <v>Остров Деплинхард</v>
      </c>
      <c r="B18" s="34" t="str">
        <f>'УзлыРесы(1)'!N75</f>
        <v>Сушеная камбала/хек/голубой хирург/язь ! Круглобрюшек/дитрем/голубой хирург/окунь</v>
      </c>
      <c r="C18" s="86"/>
      <c r="D18" s="32" t="str">
        <f>'УзлыРесы(1)'!Q55</f>
        <v>Иллирия</v>
      </c>
      <c r="E18" s="34" t="str">
        <f>'УзлыРесы(1)'!S55</f>
        <v>Медная руда, пыль огня, грубый опал. Теф</v>
      </c>
    </row>
    <row r="19" ht="12.75" customHeight="1">
      <c r="A19" s="21" t="str">
        <f>'УзлыРесы(1)'!L83</f>
        <v>Остров Тарамура</v>
      </c>
      <c r="B19" s="34" t="str">
        <f>'УзлыРесы(1)'!N83</f>
        <v>Сушеная камбала/хек/голубой хирург ! Круглобрюшек/дитрем/хек/окунь</v>
      </c>
      <c r="C19" s="86"/>
      <c r="D19" s="32" t="str">
        <f>'УзлыРесы(1)'!Q58</f>
        <v>Могила мучеников</v>
      </c>
      <c r="E19" s="34" t="str">
        <f>'УзлыРесы(1)'!S58</f>
        <v>Кора/сок/шип кактуса. Железная руда, пыль тьмы, грубый черный хрусталь.</v>
      </c>
    </row>
    <row r="20" ht="12.75" customHeight="1">
      <c r="A20" s="21" t="str">
        <f>'УзлыРесы(1)'!Q26</f>
        <v>Каменная пустошь</v>
      </c>
      <c r="B20" s="34" t="str">
        <f>'УзлыРесы(1)'!S26</f>
        <v>Древесина / сок акации. Сучок кровавого дерева</v>
      </c>
      <c r="C20" s="86"/>
      <c r="D20" s="32" t="str">
        <f>'УзлыРесы(1)'!Q60</f>
        <v>Ущелье Пэмбу</v>
      </c>
      <c r="E20" s="34" t="str">
        <f>'УзлыРесы(1)'!S60</f>
        <v>Фрике</v>
      </c>
    </row>
    <row r="21" ht="12.75" customHeight="1">
      <c r="A21" s="21" t="str">
        <f>'УзлыРесы(1)'!Q27</f>
        <v>Северное плато Медии</v>
      </c>
      <c r="B21" s="34" t="str">
        <f>'УзлыРесы(1)'!S27</f>
        <v>Древесина / сок пихты, кора старого дерева.  Древесина / сок клёна, кора старого дерева. </v>
      </c>
      <c r="C21" s="86"/>
      <c r="D21" s="32" t="str">
        <f>'УзлыРесы(1)'!Q61</f>
        <v>Ущелье Айрис</v>
      </c>
      <c r="E21" s="34" t="str">
        <f>'УзлыРесы(1)'!S61</f>
        <v>Древесина/доска/сок бузины. Мускатный орех.</v>
      </c>
    </row>
    <row r="22" ht="12.75" customHeight="1">
      <c r="A22" s="21" t="str">
        <f>'УзлыРесы(1)'!Q29</f>
        <v>Храм Камасильва</v>
      </c>
      <c r="B22" s="34" t="str">
        <f>'УзлыРесы(1)'!S29</f>
        <v>Лен, льняная нить. Опёнок, большой опенок.</v>
      </c>
      <c r="C22" s="86"/>
      <c r="D22" s="32" t="str">
        <f>'УзлыРесы(1)'!Q62</f>
        <v>Каньон Марша</v>
      </c>
      <c r="E22" s="34" t="str">
        <f>'УзлыРесы(1)'!S62</f>
        <v>Ванадий, пыль разрушения, грубый черный хрусталь. Бадьян</v>
      </c>
    </row>
    <row r="23" ht="12.75" customHeight="1">
      <c r="A23" s="41" t="str">
        <f>'УзлыРесы(1)'!Q36</f>
        <v>Место раскопок (Скрытый)</v>
      </c>
      <c r="B23" s="34" t="str">
        <f>'УзлыРесы(1)'!S36</f>
        <v>Потускневший фрагмент голема, осколок украшения клана Тугу, Порошок земли / хаоса</v>
      </c>
      <c r="C23" s="86"/>
      <c r="D23" s="51" t="str">
        <f>'УзлыРесы(1)'!Q68</f>
        <v>Святилище паломников Скромность (скрытый)</v>
      </c>
      <c r="E23" s="34" t="str">
        <f>'УзлыРесы(1)'!S68</f>
        <v>Печать стрелка древних, порошое памяти.</v>
      </c>
    </row>
    <row r="24" ht="12.75" customHeight="1">
      <c r="A24" s="21" t="str">
        <f>'УзлыРесы(1)'!Q37</f>
        <v>Ферма Эхто</v>
      </c>
      <c r="B24" s="34" t="str">
        <f>'УзлыРесы(1)'!S37</f>
        <v>Хлопок, хлопокове полотно. Алоэ. Мешочек с семенами Моны.</v>
      </c>
      <c r="C24" s="86"/>
      <c r="D24" s="32" t="str">
        <f>'УзлыРесы(1)'!Q73</f>
        <v>Гора полумесяца</v>
      </c>
      <c r="E24" s="34" t="str">
        <f>'УзлыРесы(1)'!S73</f>
        <v>Железная руда, пыль тьмы, грубый черный хрусталь.</v>
      </c>
    </row>
    <row r="25" ht="12.75" customHeight="1">
      <c r="A25" s="21" t="str">
        <f>'УзлыРесы(1)'!Q40</f>
        <v>Древний разлом</v>
      </c>
      <c r="B25" s="34" t="str">
        <f>'УзлыРесы(1)'!S40</f>
        <v>Цинковая руда, пыль веков, грубый красный хрусталь. Черноголовка, пучок черноголовки.</v>
      </c>
      <c r="C25" s="86"/>
      <c r="D25" s="32" t="str">
        <f>'УзлыРесы(1)'!Q75</f>
        <v>Фермарский базар</v>
      </c>
      <c r="E25" s="34" t="str">
        <f>'УзлыРесы(1)'!S75</f>
        <v>Мускатный орех. Теф. Картина верблюда</v>
      </c>
    </row>
    <row r="26" ht="12.75" customHeight="1">
      <c r="A26" s="21" t="str">
        <f>'УзлыРесы(1)'!Q41</f>
        <v>Побережье Медии</v>
      </c>
      <c r="B26" s="34" t="str">
        <f>'УзлыРесы(1)'!S41</f>
        <v>Медная руда, пыль огня , грубый опал</v>
      </c>
      <c r="C26" s="86"/>
      <c r="D26" s="32" t="str">
        <f>'УзлыРесы(1)'!Q76</f>
        <v>Поля Шакату</v>
      </c>
      <c r="E26" s="34" t="str">
        <f>'УзлыРесы(1)'!S76</f>
        <v>Бадьян. Инжир. Янтарь с инклюзом</v>
      </c>
    </row>
    <row r="27" ht="12.75" customHeight="1">
      <c r="B27" s="5">
        <v>23.0</v>
      </c>
      <c r="C27" s="85"/>
      <c r="D27" s="32" t="str">
        <f>'УзлыРесы(1)'!Q77</f>
        <v>Поля Тасмана</v>
      </c>
      <c r="E27" s="34" t="str">
        <f>'УзлыРесы(1)'!S77</f>
        <v>Теф. Ящик с зерном.</v>
      </c>
    </row>
    <row r="28" ht="12.75" customHeight="1">
      <c r="C28" s="86"/>
      <c r="D28" s="32" t="str">
        <f>'УзлыРесы(1)'!Q78</f>
        <v>Ферма Эрдаль</v>
      </c>
      <c r="E28" s="34" t="str">
        <f>'УзлыРесы(1)'!S78</f>
        <v>Фисташки. Финики. Коробка сладкого мармелада. Кокон, шелковая нить.</v>
      </c>
    </row>
    <row r="29" ht="12.75" customHeight="1">
      <c r="C29" s="86"/>
      <c r="D29" s="32" t="str">
        <f>'УзлыРесы(1)'!Q79</f>
        <v>Платация Валенсии</v>
      </c>
      <c r="E29" s="34" t="str">
        <f>'УзлыРесы(1)'!S79</f>
        <v>Фрике. Фисташки. Финики. Ящик с сушеными финиками.</v>
      </c>
    </row>
    <row r="30" ht="12.75" customHeight="1">
      <c r="C30" s="86"/>
      <c r="D30" s="32" t="str">
        <f>'УзлыРесы(1)'!Q80</f>
        <v>Ферма Фохаллама</v>
      </c>
      <c r="E30" s="34" t="str">
        <f>'УзлыРесы(1)'!S80</f>
        <v>Теф. Ящик с пустынными злаками</v>
      </c>
    </row>
    <row r="31" ht="12.75" customHeight="1">
      <c r="C31" s="86"/>
      <c r="D31" s="32" t="str">
        <f>'УзлыРесы(1)'!Q86</f>
        <v>Остров Мадина</v>
      </c>
      <c r="E31" s="34" t="str">
        <f>'УзлыРесы(1)'!S86</f>
        <v>БАРТЕР</v>
      </c>
    </row>
    <row r="32" ht="12.75" customHeight="1">
      <c r="C32" s="86"/>
      <c r="D32" s="32" t="str">
        <f>'УзлыРесы(1)'!Q95</f>
        <v>Пальмовый лес Арехаза</v>
      </c>
      <c r="E32" s="34" t="str">
        <f>'УзлыРесы(1)'!S95</f>
        <v>Древесина/доска пальмы. Кокос.</v>
      </c>
    </row>
    <row r="33" ht="12.75" customHeight="1">
      <c r="C33" s="86"/>
      <c r="D33" s="32" t="str">
        <f>'УзлыРесы(1)'!Q98</f>
        <v>Северные дюны</v>
      </c>
      <c r="E33" s="34" t="str">
        <f>'УзлыРесы(1)'!S98</f>
        <v>Кора/сок/шип кактуса. </v>
      </c>
    </row>
    <row r="34" ht="12.75" customHeight="1">
      <c r="C34" s="86"/>
      <c r="D34" s="32" t="str">
        <f>'УзлыРесы(1)'!Q99</f>
        <v>Вулкан Габи</v>
      </c>
      <c r="E34" s="34" t="str">
        <f>'УзлыРесы(1)'!S99</f>
        <v>Ванадий,пыль разрушения,грубый синий хрусталь. Титан,пыль огня,грубый фиолетовый хрусталь</v>
      </c>
    </row>
    <row r="35" ht="12.75" customHeight="1">
      <c r="C35" s="86"/>
      <c r="D35" s="32" t="str">
        <f>'УзлыРесы(1)'!Q100</f>
        <v>Кратер Габи</v>
      </c>
      <c r="E35" s="34" t="str">
        <f>'УзлыРесы(1)'!S100</f>
        <v>Титан,пыль огня,грубый фиолетовый хрусталь</v>
      </c>
    </row>
    <row r="36" ht="12.75" customHeight="1">
      <c r="C36" s="86"/>
      <c r="D36" s="32" t="str">
        <f>'УзлыРесы(1)'!Q101</f>
        <v>Прибрежные скалы Габи</v>
      </c>
      <c r="E36" s="34" t="str">
        <f>'УзлыРесы(1)'!S101</f>
        <v>Ванадий,пыль тьмы,грубый опал. Календула, пучок календулы.</v>
      </c>
    </row>
    <row r="37" ht="12.75" customHeight="1">
      <c r="C37" s="86"/>
      <c r="D37" s="32" t="str">
        <f>'УзлыРесы(1)'!Q103</f>
        <v>Утес Иверо</v>
      </c>
      <c r="E37" s="34" t="str">
        <f>'УзлыРесы(1)'!S103</f>
        <v>Боровик,хороший боровик, отборный боровик</v>
      </c>
    </row>
    <row r="38" ht="12.75" customHeight="1">
      <c r="C38" s="86"/>
      <c r="E38" s="5">
        <v>34.0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68.29"/>
    <col customWidth="1" min="3" max="3" width="3.14"/>
    <col customWidth="1" min="4" max="4" width="34.29"/>
    <col customWidth="1" min="5" max="5" width="58.0"/>
    <col customWidth="1" min="6" max="26" width="8.71"/>
  </cols>
  <sheetData>
    <row r="1" ht="12.75" customHeight="1">
      <c r="A1" s="70" t="s">
        <v>717</v>
      </c>
      <c r="B1" s="5"/>
      <c r="C1" s="84"/>
      <c r="D1" s="5"/>
      <c r="E1" s="5"/>
    </row>
    <row r="2" ht="12.75" customHeight="1">
      <c r="A2" s="5"/>
      <c r="B2" s="5"/>
      <c r="C2" s="84"/>
      <c r="D2" s="5"/>
      <c r="E2" s="5"/>
    </row>
    <row r="3" ht="12.75" customHeight="1">
      <c r="A3" s="5" t="s">
        <v>1008</v>
      </c>
      <c r="B3" s="5" t="s">
        <v>719</v>
      </c>
      <c r="C3" s="85"/>
      <c r="D3" s="5" t="s">
        <v>1009</v>
      </c>
      <c r="E3" s="5" t="s">
        <v>719</v>
      </c>
    </row>
    <row r="4" ht="12.75" customHeight="1">
      <c r="A4" s="24" t="str">
        <f>'УзлыРесы(1)'!B18</f>
        <v>Грана</v>
      </c>
      <c r="B4" s="34" t="str">
        <f>'УзлыРесы(1)'!D18</f>
        <v>Древесина/доска пальмы. Кокос</v>
      </c>
      <c r="C4" s="86"/>
      <c r="D4" s="34" t="str">
        <f>'УзлыРесы(1)'!V61</f>
        <v>Колючий лес</v>
      </c>
      <c r="E4" s="34" t="str">
        <f>'УзлыРесы(1)'!X61</f>
        <v>Терновая древесина / сок</v>
      </c>
    </row>
    <row r="5" ht="12.75" customHeight="1">
      <c r="A5" s="24" t="str">
        <f>'УзлыРесы(1)'!V36</f>
        <v>Горная деревня</v>
      </c>
      <c r="B5" s="34" t="str">
        <f>'УзлыРесы(1)'!X36</f>
        <v>Клубника, хорошая клубника</v>
      </c>
      <c r="C5" s="86"/>
      <c r="D5" s="34" t="str">
        <f>'УзлыРесы(1)'!V62</f>
        <v>Склеп забытых мыслей</v>
      </c>
      <c r="E5" s="34" t="str">
        <f>'УзлыРесы(1)'!X62</f>
        <v>Сгусток чистых чар. Порошок битвы</v>
      </c>
    </row>
    <row r="6" ht="12.75" customHeight="1">
      <c r="A6" s="24" t="str">
        <f>'УзлыРесы(1)'!V40</f>
        <v>Озеро Флондор</v>
      </c>
      <c r="B6" s="34" t="str">
        <f>'УзлыРесы(1)'!X40</f>
        <v>Зеленая руда, пыль притяжения</v>
      </c>
      <c r="C6" s="86"/>
      <c r="D6" s="34" t="str">
        <f>'УзлыРесы(1)'!V63</f>
        <v>Наксион</v>
      </c>
      <c r="E6" s="34" t="str">
        <f>'УзлыРесы(1)'!X63</f>
        <v>Курица,яйцо</v>
      </c>
    </row>
    <row r="7" ht="12.75" customHeight="1">
      <c r="A7" s="24" t="str">
        <f>'УзлыРесы(1)'!G71</f>
        <v>Плетеный лес</v>
      </c>
      <c r="B7" s="34" t="str">
        <f>'УзлыРесы(1)'!I71</f>
        <v>Кольцевидная древесина, сок, доска</v>
      </c>
      <c r="C7" s="86"/>
      <c r="D7" s="34" t="str">
        <f>'УзлыРесы(1)'!V66</f>
        <v>Порт Звездной полночи</v>
      </c>
      <c r="E7" s="34" t="str">
        <f>'УзлыРесы(1)'!X66</f>
        <v>Сушеный остронос/колючая камбала/запрора/красный хейлин</v>
      </c>
    </row>
    <row r="8" ht="12.75" customHeight="1">
      <c r="A8" s="24" t="str">
        <f>'УзлыРесы(1)'!G72</f>
        <v>Лес альв</v>
      </c>
      <c r="B8" s="34" t="str">
        <f>'УзлыРесы(1)'!I72</f>
        <v>Костяное ожерелье. Порошок леса. Бетелома</v>
      </c>
      <c r="C8" s="86"/>
      <c r="D8" s="34" t="str">
        <f>'УзлыРесы(1)'!V71</f>
        <v>Долина Оллуна</v>
      </c>
      <c r="E8" s="34" t="str">
        <f>'УзлыРесы(1)'!X71</f>
        <v>Никелиевая руда, мельхиор. Пыль тьмы</v>
      </c>
    </row>
    <row r="9" ht="12.75" customHeight="1">
      <c r="A9" s="24" t="str">
        <f>'УзлыРесы(1)'!V32</f>
        <v>Пруд Антаци</v>
      </c>
      <c r="B9" s="34" t="str">
        <f>'УзлыРесы(1)'!X32</f>
        <v>Сияние Антаци</v>
      </c>
      <c r="C9" s="86"/>
      <c r="D9" s="34" t="str">
        <f>'УзлыРесы(1)'!V77</f>
        <v>Плантация Деллимор</v>
      </c>
      <c r="E9" s="34" t="str">
        <f>'УзлыРесы(1)'!X77</f>
        <v>Виноград. Картофель.</v>
      </c>
    </row>
    <row r="10" ht="12.75" customHeight="1">
      <c r="A10" s="24" t="str">
        <f>'УзлыРесы(1)'!V34</f>
        <v>Тенистый лес</v>
      </c>
      <c r="B10" s="34" t="str">
        <f>'УзлыРесы(1)'!X34</f>
        <v>Мшистая древесина/доска. Сок мшистого дерева</v>
      </c>
      <c r="C10" s="86"/>
      <c r="D10" s="34" t="str">
        <f>'УзлыРесы(1)'!V78</f>
        <v>Горы разделения</v>
      </c>
      <c r="E10" s="34" t="str">
        <f>'УзлыРесы(1)'!X78</f>
        <v>Порошок вреда, сгусток чистых чар</v>
      </c>
    </row>
    <row r="11" ht="12.75" customHeight="1">
      <c r="A11" s="24" t="str">
        <f>'УзлыРесы(1)'!V35</f>
        <v>Одинокий лес</v>
      </c>
      <c r="B11" s="34" t="str">
        <f>'УзлыРесы(1)'!X35</f>
        <v>Зеленая руда, пыль веков</v>
      </c>
      <c r="C11" s="86"/>
      <c r="D11" s="34" t="str">
        <f>'УзлыРесы(1)'!V79</f>
        <v>Тропа лезвий</v>
      </c>
      <c r="E11" s="34" t="str">
        <f>'УзлыРесы(1)'!X79</f>
        <v>Терновая древесина/сок</v>
      </c>
    </row>
    <row r="12" ht="12.75" customHeight="1">
      <c r="A12" s="24" t="str">
        <f>'УзлыРесы(1)'!V41</f>
        <v>Лес Полли</v>
      </c>
      <c r="B12" s="34" t="str">
        <f>'УзлыРесы(1)'!X41</f>
        <v>Синяк, Розовый гомпус</v>
      </c>
      <c r="C12" s="86"/>
      <c r="E12" s="5">
        <v>8.0</v>
      </c>
    </row>
    <row r="13" ht="12.75" customHeight="1">
      <c r="A13" s="24" t="str">
        <f>'УзлыРесы(1)'!V44</f>
        <v>Лесная хижина Реони</v>
      </c>
      <c r="B13" s="34" t="str">
        <f>'УзлыРесы(1)'!X44</f>
        <v>Белый гриб, цветущий гриб</v>
      </c>
      <c r="C13" s="86"/>
    </row>
    <row r="14" ht="12.75" customHeight="1">
      <c r="A14" s="24" t="str">
        <f>'УзлыРесы(1)'!V45</f>
        <v>Лесная хижина Винни</v>
      </c>
      <c r="B14" s="34" t="str">
        <f>'УзлыРесы(1)'!X45</f>
        <v>Вулканический гриб, зеленая тулостома</v>
      </c>
      <c r="C14" s="86"/>
    </row>
    <row r="15" ht="12.75" customHeight="1">
      <c r="B15" s="5">
        <v>11.0</v>
      </c>
      <c r="C15" s="85"/>
    </row>
    <row r="16" ht="12.75" customHeight="1">
      <c r="C16" s="86"/>
    </row>
    <row r="17" ht="12.75" customHeight="1">
      <c r="A17" s="86"/>
      <c r="B17" s="86"/>
      <c r="C17" s="86"/>
      <c r="D17" s="86"/>
      <c r="E17" s="86"/>
    </row>
    <row r="18" ht="12.75" customHeight="1">
      <c r="C18" s="86"/>
    </row>
    <row r="19" ht="12.75" customHeight="1">
      <c r="A19" s="5" t="s">
        <v>1010</v>
      </c>
      <c r="B19" s="5" t="s">
        <v>719</v>
      </c>
      <c r="C19" s="85"/>
      <c r="D19" s="5" t="s">
        <v>1011</v>
      </c>
      <c r="E19" s="5" t="s">
        <v>719</v>
      </c>
    </row>
    <row r="20" ht="12.75" customHeight="1">
      <c r="A20" s="23" t="str">
        <f>'УзлыРесы(1)'!B19</f>
        <v>Двенкрун</v>
      </c>
      <c r="B20" s="34" t="str">
        <f>'УзлыРесы(1)'!D19</f>
        <v>Золотые слитки, серебро</v>
      </c>
      <c r="C20" s="86"/>
      <c r="D20" s="73" t="str">
        <f>'УзлыРесы(1)'!V83</f>
        <v>Гнездо Ноуля Ветра</v>
      </c>
      <c r="E20" s="34" t="str">
        <f>'УзлыРесы(1)'!X83</f>
        <v>Древесина / сок снежного кедра</v>
      </c>
    </row>
    <row r="21" ht="12.75" customHeight="1">
      <c r="A21" s="23" t="str">
        <f>'УзлыРесы(1)'!G5</f>
        <v>Лесопилка Дормана</v>
      </c>
      <c r="B21" s="34" t="str">
        <f>'УзлыРесы(1)'!I5</f>
        <v>Древесина, доска, сок кипариса. Древесина, доска, сок плосковеточника. </v>
      </c>
      <c r="C21" s="86"/>
      <c r="D21" s="73" t="str">
        <f>'УзлыРесы(1)'!V85</f>
        <v>Сад Маслан с Юдзу</v>
      </c>
      <c r="E21" s="34" t="str">
        <f>'УзлыРесы(1)'!X85</f>
        <v>Юдзу</v>
      </c>
    </row>
    <row r="22" ht="12.75" customHeight="1">
      <c r="A22" s="23" t="str">
        <f>'УзлыРесы(1)'!V58</f>
        <v>Лесопилка Химута</v>
      </c>
      <c r="B22" s="34" t="str">
        <f>'УзлыРесы(1)'!X58</f>
        <v>Древесина, доска, сок сосны. Древесина, доска, сок ольхи. </v>
      </c>
      <c r="C22" s="86"/>
      <c r="D22" s="73" t="str">
        <f>'УзлыРесы(1)'!V87</f>
        <v>Горы вечной зимы</v>
      </c>
      <c r="E22" s="34" t="str">
        <f>'УзлыРесы(1)'!X87</f>
        <v>Прозрачный лёд, Кусок прозрачного льда</v>
      </c>
    </row>
    <row r="23" ht="12.75" customHeight="1">
      <c r="A23" s="23" t="str">
        <f>'УзлыРесы(1)'!G75</f>
        <v>Скалы Акумуса</v>
      </c>
      <c r="B23" s="34" t="str">
        <f>'УзлыРесы(1)'!I75</f>
        <v>Железная руда, зеленая руда, грубый лазурит</v>
      </c>
      <c r="C23" s="86"/>
      <c r="D23" s="73" t="str">
        <f>'УзлыРесы(1)'!V89</f>
        <v>Лес Нефритовых звезд</v>
      </c>
      <c r="E23" s="34" t="str">
        <f>'УзлыРесы(1)'!X89</f>
        <v>Древесина / сок снежного кедра. Грубый нефрит</v>
      </c>
    </row>
    <row r="24" ht="12.75" customHeight="1">
      <c r="A24" s="23" t="str">
        <f>'УзлыРесы(1)'!V49</f>
        <v>Поля Двенкруна</v>
      </c>
      <c r="B24" s="34" t="str">
        <f>'УзлыРесы(1)'!X49</f>
        <v>Ячмень. Кукуруза</v>
      </c>
      <c r="C24" s="86"/>
      <c r="D24" s="73" t="str">
        <f>'УзлыРесы(1)'!V90</f>
        <v>Сторожевой пост на гором перевале</v>
      </c>
      <c r="E24" s="34" t="str">
        <f>'УзлыРесы(1)'!X90</f>
        <v>Древесина Ольхи, ветвь монарха</v>
      </c>
    </row>
    <row r="25" ht="12.75" customHeight="1">
      <c r="A25" s="23" t="str">
        <f>'УзлыРесы(1)'!V50</f>
        <v>Каньон Карков</v>
      </c>
      <c r="B25" s="34" t="str">
        <f>'УзлыРесы(1)'!X50</f>
        <v>Зеленая руда. Мельхиор. Цинковая руда.</v>
      </c>
      <c r="C25" s="86"/>
      <c r="D25" s="73" t="str">
        <f>'УзлыРесы(1)'!V91</f>
        <v>Лес Тори</v>
      </c>
      <c r="E25" s="34" t="str">
        <f>'УзлыРесы(1)'!X91</f>
        <v>Орляк</v>
      </c>
    </row>
    <row r="26" ht="12.75" customHeight="1">
      <c r="A26" s="23" t="str">
        <f>'УзлыРесы(1)'!V51</f>
        <v>Могила Шерехана</v>
      </c>
      <c r="B26" s="34" t="str">
        <f>'УзлыРесы(1)'!X51</f>
        <v>Кусок высохшего камня. Порошок памяти.</v>
      </c>
      <c r="C26" s="86"/>
      <c r="D26" s="73" t="str">
        <f>'УзлыРесы(1)'!V92</f>
        <v>Рудник Шерехана</v>
      </c>
      <c r="E26" s="34" t="str">
        <f>'УзлыРесы(1)'!X92</f>
        <v>Грубый обсидиан. Порошок починки, кварц</v>
      </c>
    </row>
    <row r="27" ht="12.75" customHeight="1">
      <c r="A27" s="23" t="str">
        <f>'УзлыРесы(1)'!V56</f>
        <v>Ручей желаний</v>
      </c>
      <c r="B27" s="34" t="str">
        <f>'УзлыРесы(1)'!X56</f>
        <v>Кусок магического камня. Порошок изначальности</v>
      </c>
      <c r="C27" s="86"/>
      <c r="D27" s="73" t="str">
        <f>'УзлыРесы(1)'!V95</f>
        <v>Холм Звиер</v>
      </c>
      <c r="E27" s="34" t="str">
        <f>'УзлыРесы(1)'!X95</f>
        <v>Порошок смерти. Кварц. Мёд</v>
      </c>
    </row>
    <row r="28" ht="12.75" customHeight="1">
      <c r="A28" s="23" t="str">
        <f>'УзлыРесы(1)'!V57</f>
        <v>Горы Гервиша</v>
      </c>
      <c r="B28" s="34" t="str">
        <f>'УзлыРесы(1)'!X57</f>
        <v>Орляк. Календула</v>
      </c>
      <c r="C28" s="86"/>
      <c r="D28" s="73" t="str">
        <f>'УзлыРесы(1)'!V96</f>
        <v>Лагерь Балакс</v>
      </c>
      <c r="E28" s="34" t="str">
        <f>'УзлыРесы(1)'!X96</f>
        <v>Раскаленный черный минерал</v>
      </c>
    </row>
    <row r="29" ht="12.75" customHeight="1">
      <c r="A29" s="23" t="str">
        <f>'УзлыРесы(1)'!V59</f>
        <v>Руины Тширы</v>
      </c>
      <c r="B29" s="34" t="str">
        <f>'УзлыРесы(1)'!X59</f>
        <v>Орляк. Клевер</v>
      </c>
      <c r="C29" s="86"/>
      <c r="D29" s="73" t="str">
        <f>'УзлыРесы(1)'!V98</f>
        <v>Путь последнего паломничества</v>
      </c>
      <c r="E29" s="34" t="str">
        <f>'УзлыРесы(1)'!X98</f>
        <v>Лисички, мешима. Пятнистый рыжик, Бамбуковый гриб</v>
      </c>
    </row>
    <row r="30" ht="12.75" customHeight="1">
      <c r="A30" s="23" t="str">
        <f>'УзлыРесы(1)'!V60</f>
        <v>Ферма Марака</v>
      </c>
      <c r="B30" s="34" t="str">
        <f>'УзлыРесы(1)'!X60</f>
        <v>Кукуруза. Ячмень.</v>
      </c>
      <c r="C30" s="86"/>
      <c r="E30" s="5">
        <v>10.0</v>
      </c>
    </row>
    <row r="31" ht="12.75" customHeight="1">
      <c r="B31" s="5">
        <v>11.0</v>
      </c>
      <c r="C31" s="85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71"/>
    <col customWidth="1" min="3" max="3" width="12.71"/>
    <col customWidth="1" min="4" max="7" width="9.14"/>
    <col customWidth="1" min="8" max="8" width="10.43"/>
    <col customWidth="1" min="9" max="9" width="14.0"/>
    <col customWidth="1" min="10" max="10" width="3.14"/>
    <col customWidth="1" min="11" max="11" width="14.29"/>
    <col customWidth="1" min="12" max="12" width="8.71"/>
    <col customWidth="1" min="13" max="13" width="12.57"/>
    <col customWidth="1" min="14" max="17" width="8.71"/>
    <col customWidth="1" min="18" max="18" width="11.43"/>
    <col customWidth="1" min="19" max="19" width="13.0"/>
    <col customWidth="1" min="20" max="20" width="2.71"/>
    <col customWidth="1" min="21" max="21" width="18.29"/>
    <col customWidth="1" min="22" max="22" width="6.0"/>
    <col customWidth="1" min="23" max="23" width="12.86"/>
    <col customWidth="1" min="24" max="24" width="9.71"/>
    <col customWidth="1" min="25" max="25" width="7.0"/>
    <col customWidth="1" min="26" max="26" width="8.57"/>
    <col customWidth="1" min="27" max="27" width="6.0"/>
    <col customWidth="1" min="28" max="28" width="12.29"/>
    <col customWidth="1" min="29" max="29" width="13.0"/>
    <col customWidth="1" min="30" max="30" width="3.29"/>
    <col customWidth="1" min="31" max="31" width="20.86"/>
    <col customWidth="1" min="32" max="32" width="26.29"/>
    <col customWidth="1" min="33" max="33" width="13.71"/>
    <col customWidth="1" min="34" max="34" width="9.71"/>
    <col customWidth="1" min="35" max="35" width="7.43"/>
    <col customWidth="1" min="36" max="36" width="6.14"/>
    <col customWidth="1" min="37" max="37" width="7.57"/>
    <col customWidth="1" min="38" max="38" width="10.43"/>
    <col customWidth="1" min="39" max="39" width="13.86"/>
    <col customWidth="1" min="40" max="40" width="2.86"/>
    <col customWidth="1" min="41" max="41" width="23.29"/>
    <col customWidth="1" min="42" max="48" width="8.71"/>
    <col customWidth="1" min="49" max="49" width="15.29"/>
  </cols>
  <sheetData>
    <row r="1" ht="12.75" customHeight="1">
      <c r="A1" s="19" t="s">
        <v>1012</v>
      </c>
      <c r="D1" s="14"/>
      <c r="E1" s="14"/>
      <c r="F1" s="14"/>
      <c r="G1" s="14"/>
      <c r="H1" s="12"/>
      <c r="I1" s="18"/>
      <c r="K1" s="89"/>
      <c r="T1" s="90"/>
      <c r="W1" s="70" t="s">
        <v>717</v>
      </c>
      <c r="AD1" s="90"/>
      <c r="AN1" s="91"/>
    </row>
    <row r="2" ht="12.75" customHeight="1">
      <c r="D2" s="14"/>
      <c r="E2" s="14"/>
      <c r="F2" s="14"/>
      <c r="G2" s="14"/>
      <c r="H2" s="12"/>
      <c r="I2" s="18"/>
      <c r="J2" s="86"/>
      <c r="T2" s="92"/>
      <c r="AD2" s="92"/>
      <c r="AN2" s="86"/>
    </row>
    <row r="3" ht="13.5" customHeight="1">
      <c r="A3" s="93" t="s">
        <v>11</v>
      </c>
      <c r="B3" s="5" t="s">
        <v>1013</v>
      </c>
      <c r="C3" s="5" t="s">
        <v>1014</v>
      </c>
      <c r="D3" s="93" t="s">
        <v>1015</v>
      </c>
      <c r="E3" s="94" t="s">
        <v>1016</v>
      </c>
      <c r="F3" s="93" t="s">
        <v>1017</v>
      </c>
      <c r="G3" s="93" t="s">
        <v>1018</v>
      </c>
      <c r="H3" s="5" t="s">
        <v>1019</v>
      </c>
      <c r="I3" s="5" t="s">
        <v>1020</v>
      </c>
      <c r="J3" s="86"/>
      <c r="K3" s="93" t="s">
        <v>116</v>
      </c>
      <c r="L3" s="5" t="s">
        <v>1013</v>
      </c>
      <c r="M3" s="5" t="s">
        <v>1014</v>
      </c>
      <c r="N3" s="93" t="s">
        <v>1015</v>
      </c>
      <c r="O3" s="94" t="s">
        <v>1016</v>
      </c>
      <c r="P3" s="93" t="s">
        <v>1017</v>
      </c>
      <c r="Q3" s="93" t="s">
        <v>1018</v>
      </c>
      <c r="R3" s="5" t="s">
        <v>1019</v>
      </c>
      <c r="S3" s="5" t="s">
        <v>1020</v>
      </c>
      <c r="T3" s="92"/>
      <c r="U3" s="93" t="s">
        <v>1021</v>
      </c>
      <c r="V3" s="5" t="s">
        <v>1013</v>
      </c>
      <c r="W3" s="5" t="s">
        <v>1014</v>
      </c>
      <c r="X3" s="93" t="s">
        <v>1015</v>
      </c>
      <c r="Y3" s="94" t="s">
        <v>1016</v>
      </c>
      <c r="Z3" s="93" t="s">
        <v>1017</v>
      </c>
      <c r="AA3" s="93" t="s">
        <v>1018</v>
      </c>
      <c r="AB3" s="5" t="s">
        <v>1019</v>
      </c>
      <c r="AC3" s="5" t="s">
        <v>1020</v>
      </c>
      <c r="AD3" s="92"/>
      <c r="AE3" s="5" t="s">
        <v>1022</v>
      </c>
      <c r="AF3" s="5" t="s">
        <v>1013</v>
      </c>
      <c r="AG3" s="5" t="s">
        <v>1014</v>
      </c>
      <c r="AH3" s="93" t="s">
        <v>1023</v>
      </c>
      <c r="AI3" s="94" t="s">
        <v>1016</v>
      </c>
      <c r="AJ3" s="93" t="s">
        <v>1024</v>
      </c>
      <c r="AK3" s="93" t="s">
        <v>1018</v>
      </c>
      <c r="AL3" s="5" t="s">
        <v>1025</v>
      </c>
      <c r="AM3" s="5" t="s">
        <v>1020</v>
      </c>
      <c r="AN3" s="86"/>
      <c r="AO3" s="5" t="s">
        <v>1026</v>
      </c>
      <c r="AP3" s="5" t="s">
        <v>1013</v>
      </c>
      <c r="AQ3" s="5" t="s">
        <v>1014</v>
      </c>
      <c r="AR3" s="93" t="s">
        <v>1023</v>
      </c>
      <c r="AS3" s="94" t="s">
        <v>1016</v>
      </c>
      <c r="AT3" s="93" t="s">
        <v>1024</v>
      </c>
      <c r="AU3" s="93" t="s">
        <v>1018</v>
      </c>
      <c r="AV3" s="5" t="s">
        <v>1025</v>
      </c>
      <c r="AW3" s="5" t="s">
        <v>1020</v>
      </c>
    </row>
    <row r="4" ht="12.75" customHeight="1">
      <c r="A4" s="14" t="s">
        <v>1027</v>
      </c>
      <c r="B4" s="95" t="s">
        <v>1028</v>
      </c>
      <c r="C4" s="12" t="s">
        <v>1029</v>
      </c>
      <c r="D4" s="56">
        <v>0.0</v>
      </c>
      <c r="E4" s="96">
        <v>1.0</v>
      </c>
      <c r="F4" s="56">
        <f t="shared" ref="F4:G4" si="1">D4</f>
        <v>0</v>
      </c>
      <c r="G4" s="56">
        <f t="shared" si="1"/>
        <v>1</v>
      </c>
      <c r="H4" s="97">
        <f>G4</f>
        <v>1</v>
      </c>
      <c r="I4" s="98" t="s">
        <v>17</v>
      </c>
      <c r="J4" s="86"/>
      <c r="K4" s="99" t="s">
        <v>116</v>
      </c>
      <c r="L4" s="100" t="s">
        <v>1030</v>
      </c>
      <c r="M4" s="12" t="s">
        <v>1029</v>
      </c>
      <c r="N4" s="101">
        <v>1.0</v>
      </c>
      <c r="O4" s="96">
        <v>1.0</v>
      </c>
      <c r="P4" s="56">
        <f t="shared" ref="P4:Q4" si="2">N4</f>
        <v>1</v>
      </c>
      <c r="Q4" s="56">
        <f t="shared" si="2"/>
        <v>1</v>
      </c>
      <c r="R4" s="102">
        <f t="shared" ref="R4:R27" si="7">Q4/P4</f>
        <v>1</v>
      </c>
      <c r="S4" s="103" t="s">
        <v>1031</v>
      </c>
      <c r="T4" s="104"/>
      <c r="U4" s="14" t="s">
        <v>202</v>
      </c>
      <c r="V4" s="95" t="s">
        <v>1032</v>
      </c>
      <c r="W4" s="12" t="s">
        <v>1029</v>
      </c>
      <c r="X4" s="12">
        <v>0.0</v>
      </c>
      <c r="Y4" s="105">
        <v>1.0</v>
      </c>
      <c r="Z4" s="56">
        <f t="shared" ref="Z4:AA4" si="3">X4</f>
        <v>0</v>
      </c>
      <c r="AA4" s="56">
        <f t="shared" si="3"/>
        <v>1</v>
      </c>
      <c r="AB4" s="102">
        <f>AA4</f>
        <v>1</v>
      </c>
      <c r="AC4" s="98" t="s">
        <v>17</v>
      </c>
      <c r="AD4" s="92"/>
      <c r="AE4" s="14" t="s">
        <v>16</v>
      </c>
      <c r="AF4" s="95" t="s">
        <v>1033</v>
      </c>
      <c r="AG4" s="12" t="s">
        <v>1029</v>
      </c>
      <c r="AH4" s="101">
        <v>1.0</v>
      </c>
      <c r="AI4" s="96">
        <v>1.0</v>
      </c>
      <c r="AJ4" s="56">
        <f t="shared" ref="AJ4:AK4" si="4">AH4</f>
        <v>1</v>
      </c>
      <c r="AK4" s="56">
        <f t="shared" si="4"/>
        <v>1</v>
      </c>
      <c r="AL4" s="102">
        <f t="shared" ref="AL4:AL11" si="10">AK4/AJ4</f>
        <v>1</v>
      </c>
      <c r="AM4" s="106" t="s">
        <v>1031</v>
      </c>
      <c r="AN4" s="86"/>
      <c r="AO4" s="14" t="s">
        <v>122</v>
      </c>
      <c r="AP4" s="95" t="s">
        <v>1034</v>
      </c>
      <c r="AQ4" s="12" t="s">
        <v>1029</v>
      </c>
      <c r="AR4" s="101">
        <v>2.0</v>
      </c>
      <c r="AS4" s="96">
        <v>5.0</v>
      </c>
      <c r="AT4" s="56">
        <v>2.0</v>
      </c>
      <c r="AU4" s="56">
        <v>3.0</v>
      </c>
      <c r="AV4" s="107">
        <f t="shared" ref="AV4:AV6" si="12">AU4/AT4</f>
        <v>1.5</v>
      </c>
      <c r="AW4" s="103" t="s">
        <v>1035</v>
      </c>
    </row>
    <row r="5" ht="12.75" customHeight="1">
      <c r="A5" s="14" t="s">
        <v>1027</v>
      </c>
      <c r="B5" s="95" t="s">
        <v>1036</v>
      </c>
      <c r="C5" s="12" t="s">
        <v>1037</v>
      </c>
      <c r="D5" s="101">
        <v>2.0</v>
      </c>
      <c r="E5" s="96">
        <v>3.0</v>
      </c>
      <c r="F5" s="56">
        <f t="shared" ref="F5:G5" si="5">D4+D5</f>
        <v>2</v>
      </c>
      <c r="G5" s="56">
        <f t="shared" si="5"/>
        <v>4</v>
      </c>
      <c r="H5" s="102">
        <f t="shared" ref="H5:H12" si="14">G5/F5</f>
        <v>2</v>
      </c>
      <c r="I5" s="106" t="s">
        <v>1038</v>
      </c>
      <c r="J5" s="86"/>
      <c r="K5" s="99" t="s">
        <v>116</v>
      </c>
      <c r="L5" s="100" t="s">
        <v>1039</v>
      </c>
      <c r="M5" s="108" t="s">
        <v>1037</v>
      </c>
      <c r="N5" s="101">
        <v>2.0</v>
      </c>
      <c r="O5" s="96">
        <v>2.0</v>
      </c>
      <c r="P5" s="56">
        <f t="shared" ref="P5:Q5" si="6">N4+N5</f>
        <v>3</v>
      </c>
      <c r="Q5" s="56">
        <f t="shared" si="6"/>
        <v>3</v>
      </c>
      <c r="R5" s="102">
        <f t="shared" si="7"/>
        <v>1</v>
      </c>
      <c r="S5" s="103" t="s">
        <v>1038</v>
      </c>
      <c r="T5" s="104"/>
      <c r="U5" s="14" t="s">
        <v>202</v>
      </c>
      <c r="V5" s="95" t="s">
        <v>1040</v>
      </c>
      <c r="W5" s="12" t="s">
        <v>1037</v>
      </c>
      <c r="X5" s="109">
        <v>1.0</v>
      </c>
      <c r="Y5" s="105">
        <v>2.0</v>
      </c>
      <c r="Z5" s="56">
        <f t="shared" ref="Z5:AA5" si="8">X4+X5</f>
        <v>1</v>
      </c>
      <c r="AA5" s="56">
        <f t="shared" si="8"/>
        <v>3</v>
      </c>
      <c r="AB5" s="102">
        <f t="shared" ref="AB5:AB7" si="17">AA5/Z5</f>
        <v>3</v>
      </c>
      <c r="AC5" s="103" t="s">
        <v>1041</v>
      </c>
      <c r="AD5" s="92"/>
      <c r="AE5" s="14" t="s">
        <v>16</v>
      </c>
      <c r="AF5" s="95" t="s">
        <v>1042</v>
      </c>
      <c r="AG5" s="108" t="s">
        <v>1037</v>
      </c>
      <c r="AH5" s="101">
        <v>1.0</v>
      </c>
      <c r="AI5" s="96">
        <v>1.0</v>
      </c>
      <c r="AJ5" s="12">
        <f t="shared" ref="AJ5:AK5" si="9">AH4+AH5</f>
        <v>2</v>
      </c>
      <c r="AK5" s="12">
        <f t="shared" si="9"/>
        <v>2</v>
      </c>
      <c r="AL5" s="102">
        <f t="shared" si="10"/>
        <v>1</v>
      </c>
      <c r="AM5" s="106" t="s">
        <v>1031</v>
      </c>
      <c r="AN5" s="86"/>
      <c r="AO5" s="14" t="s">
        <v>122</v>
      </c>
      <c r="AP5" s="95" t="s">
        <v>1043</v>
      </c>
      <c r="AQ5" s="12" t="s">
        <v>1029</v>
      </c>
      <c r="AR5" s="101">
        <v>3.0</v>
      </c>
      <c r="AS5" s="96">
        <v>8.0</v>
      </c>
      <c r="AT5" s="56">
        <f t="shared" ref="AT5:AU5" si="11">AR4+AR5</f>
        <v>5</v>
      </c>
      <c r="AU5" s="56">
        <f t="shared" si="11"/>
        <v>13</v>
      </c>
      <c r="AV5" s="107">
        <f t="shared" si="12"/>
        <v>2.6</v>
      </c>
      <c r="AW5" s="103" t="s">
        <v>1044</v>
      </c>
    </row>
    <row r="6" ht="12.75" customHeight="1">
      <c r="A6" s="14" t="s">
        <v>1027</v>
      </c>
      <c r="B6" s="95" t="s">
        <v>1045</v>
      </c>
      <c r="C6" s="12" t="s">
        <v>1037</v>
      </c>
      <c r="D6" s="101">
        <v>1.0</v>
      </c>
      <c r="E6" s="96">
        <v>1.0</v>
      </c>
      <c r="F6" s="56">
        <f t="shared" ref="F6:G6" si="13">D4+D6</f>
        <v>1</v>
      </c>
      <c r="G6" s="56">
        <f t="shared" si="13"/>
        <v>2</v>
      </c>
      <c r="H6" s="102">
        <f t="shared" si="14"/>
        <v>2</v>
      </c>
      <c r="I6" s="106" t="s">
        <v>1031</v>
      </c>
      <c r="J6" s="86"/>
      <c r="K6" s="99" t="s">
        <v>116</v>
      </c>
      <c r="L6" s="100" t="s">
        <v>1046</v>
      </c>
      <c r="M6" s="108" t="s">
        <v>1037</v>
      </c>
      <c r="N6" s="101">
        <v>3.0</v>
      </c>
      <c r="O6" s="96">
        <v>3.0</v>
      </c>
      <c r="P6" s="56">
        <f t="shared" ref="P6:Q6" si="15">N4+N6</f>
        <v>4</v>
      </c>
      <c r="Q6" s="56">
        <f t="shared" si="15"/>
        <v>4</v>
      </c>
      <c r="R6" s="102">
        <f t="shared" si="7"/>
        <v>1</v>
      </c>
      <c r="S6" s="103" t="s">
        <v>1047</v>
      </c>
      <c r="T6" s="104"/>
      <c r="U6" s="14" t="s">
        <v>202</v>
      </c>
      <c r="V6" s="95" t="s">
        <v>1048</v>
      </c>
      <c r="W6" s="12" t="s">
        <v>1049</v>
      </c>
      <c r="X6" s="101">
        <v>1.0</v>
      </c>
      <c r="Y6" s="96">
        <v>1.0</v>
      </c>
      <c r="Z6" s="12">
        <f t="shared" ref="Z6:AA6" si="16">X4+X5+X6</f>
        <v>2</v>
      </c>
      <c r="AA6" s="12">
        <f t="shared" si="16"/>
        <v>4</v>
      </c>
      <c r="AB6" s="102">
        <f t="shared" si="17"/>
        <v>2</v>
      </c>
      <c r="AC6" s="103" t="s">
        <v>1041</v>
      </c>
      <c r="AD6" s="92"/>
      <c r="AE6" s="14" t="s">
        <v>16</v>
      </c>
      <c r="AF6" s="95" t="s">
        <v>1050</v>
      </c>
      <c r="AG6" s="12" t="s">
        <v>1037</v>
      </c>
      <c r="AH6" s="101">
        <v>2.0</v>
      </c>
      <c r="AI6" s="96">
        <v>2.0</v>
      </c>
      <c r="AJ6" s="12">
        <f t="shared" ref="AJ6:AK6" si="18">AH4+AH6</f>
        <v>3</v>
      </c>
      <c r="AK6" s="12">
        <f t="shared" si="18"/>
        <v>3</v>
      </c>
      <c r="AL6" s="102">
        <f t="shared" si="10"/>
        <v>1</v>
      </c>
      <c r="AM6" s="106" t="s">
        <v>1038</v>
      </c>
      <c r="AN6" s="86"/>
      <c r="AO6" s="14" t="s">
        <v>122</v>
      </c>
      <c r="AP6" s="95" t="s">
        <v>1051</v>
      </c>
      <c r="AQ6" s="12" t="s">
        <v>1029</v>
      </c>
      <c r="AR6" s="101">
        <v>2.0</v>
      </c>
      <c r="AS6" s="96">
        <v>5.0</v>
      </c>
      <c r="AT6" s="56">
        <f t="shared" ref="AT6:AU6" si="19">AR4+AR5+AR6</f>
        <v>7</v>
      </c>
      <c r="AU6" s="56">
        <f t="shared" si="19"/>
        <v>18</v>
      </c>
      <c r="AV6" s="107">
        <f t="shared" si="12"/>
        <v>2.571428571</v>
      </c>
      <c r="AW6" s="103" t="s">
        <v>1035</v>
      </c>
    </row>
    <row r="7" ht="12.75" customHeight="1">
      <c r="A7" s="14" t="s">
        <v>1027</v>
      </c>
      <c r="B7" s="110" t="s">
        <v>1052</v>
      </c>
      <c r="C7" s="111" t="s">
        <v>1049</v>
      </c>
      <c r="D7" s="112">
        <v>2.0</v>
      </c>
      <c r="E7" s="113">
        <v>1.0</v>
      </c>
      <c r="F7" s="114">
        <f t="shared" ref="F7:G7" si="20">D4+D6+D7</f>
        <v>3</v>
      </c>
      <c r="G7" s="114">
        <f t="shared" si="20"/>
        <v>3</v>
      </c>
      <c r="H7" s="115">
        <f t="shared" si="14"/>
        <v>1</v>
      </c>
      <c r="I7" s="116" t="s">
        <v>1038</v>
      </c>
      <c r="J7" s="86"/>
      <c r="K7" s="99" t="s">
        <v>116</v>
      </c>
      <c r="L7" s="117" t="s">
        <v>1048</v>
      </c>
      <c r="M7" s="111" t="s">
        <v>1049</v>
      </c>
      <c r="N7" s="112">
        <v>2.0</v>
      </c>
      <c r="O7" s="113">
        <v>2.0</v>
      </c>
      <c r="P7" s="114">
        <f t="shared" ref="P7:Q7" si="21">N4+N6+N7</f>
        <v>6</v>
      </c>
      <c r="Q7" s="114">
        <f t="shared" si="21"/>
        <v>6</v>
      </c>
      <c r="R7" s="115">
        <f t="shared" si="7"/>
        <v>1</v>
      </c>
      <c r="S7" s="118" t="s">
        <v>1038</v>
      </c>
      <c r="T7" s="104"/>
      <c r="U7" s="14" t="s">
        <v>202</v>
      </c>
      <c r="V7" s="110" t="s">
        <v>1053</v>
      </c>
      <c r="W7" s="111" t="s">
        <v>1054</v>
      </c>
      <c r="X7" s="112">
        <v>1.0</v>
      </c>
      <c r="Y7" s="113">
        <v>1.0</v>
      </c>
      <c r="Z7" s="111">
        <f t="shared" ref="Z7:AA7" si="22">X4+X5+X6+X7</f>
        <v>3</v>
      </c>
      <c r="AA7" s="111">
        <f t="shared" si="22"/>
        <v>5</v>
      </c>
      <c r="AB7" s="115">
        <f t="shared" si="17"/>
        <v>1.666666667</v>
      </c>
      <c r="AC7" s="118" t="s">
        <v>1041</v>
      </c>
      <c r="AD7" s="92"/>
      <c r="AE7" s="14" t="s">
        <v>16</v>
      </c>
      <c r="AF7" s="95" t="s">
        <v>1055</v>
      </c>
      <c r="AG7" s="12" t="s">
        <v>1049</v>
      </c>
      <c r="AH7" s="101">
        <v>2.0</v>
      </c>
      <c r="AI7" s="96">
        <v>3.0</v>
      </c>
      <c r="AJ7" s="12">
        <f t="shared" ref="AJ7:AK7" si="23">AH4+AH6+AH7</f>
        <v>5</v>
      </c>
      <c r="AK7" s="12">
        <f t="shared" si="23"/>
        <v>6</v>
      </c>
      <c r="AL7" s="102">
        <f t="shared" si="10"/>
        <v>1.2</v>
      </c>
      <c r="AM7" s="106" t="s">
        <v>1038</v>
      </c>
      <c r="AN7" s="86"/>
      <c r="AO7" s="13" t="s">
        <v>1056</v>
      </c>
      <c r="AP7" s="95"/>
      <c r="AR7" s="119">
        <f>SUM(AR4:AR6)</f>
        <v>7</v>
      </c>
      <c r="AT7" s="5"/>
    </row>
    <row r="8" ht="12.75" customHeight="1">
      <c r="A8" s="14" t="s">
        <v>1027</v>
      </c>
      <c r="B8" s="120" t="s">
        <v>1057</v>
      </c>
      <c r="C8" s="121" t="s">
        <v>1029</v>
      </c>
      <c r="D8" s="122">
        <v>1.0</v>
      </c>
      <c r="E8" s="123">
        <v>1.0</v>
      </c>
      <c r="F8" s="124">
        <f t="shared" ref="F8:G8" si="24">D8</f>
        <v>1</v>
      </c>
      <c r="G8" s="124">
        <f t="shared" si="24"/>
        <v>1</v>
      </c>
      <c r="H8" s="125">
        <f t="shared" si="14"/>
        <v>1</v>
      </c>
      <c r="I8" s="126" t="s">
        <v>1031</v>
      </c>
      <c r="J8" s="86"/>
      <c r="K8" s="99" t="s">
        <v>116</v>
      </c>
      <c r="L8" s="127" t="s">
        <v>1028</v>
      </c>
      <c r="M8" s="121" t="s">
        <v>1029</v>
      </c>
      <c r="N8" s="122">
        <v>1.0</v>
      </c>
      <c r="O8" s="123">
        <v>1.0</v>
      </c>
      <c r="P8" s="124">
        <f t="shared" ref="P8:Q8" si="25">N8</f>
        <v>1</v>
      </c>
      <c r="Q8" s="124">
        <f t="shared" si="25"/>
        <v>1</v>
      </c>
      <c r="R8" s="125">
        <f t="shared" si="7"/>
        <v>1</v>
      </c>
      <c r="S8" s="128" t="s">
        <v>1031</v>
      </c>
      <c r="T8" s="104"/>
      <c r="U8" s="14" t="s">
        <v>202</v>
      </c>
      <c r="V8" s="120" t="s">
        <v>1058</v>
      </c>
      <c r="W8" s="121" t="s">
        <v>1029</v>
      </c>
      <c r="X8" s="124">
        <v>0.0</v>
      </c>
      <c r="Y8" s="123">
        <v>1.0</v>
      </c>
      <c r="Z8" s="124">
        <f>X8</f>
        <v>0</v>
      </c>
      <c r="AA8" s="124">
        <v>1.0</v>
      </c>
      <c r="AB8" s="125">
        <f>AA8</f>
        <v>1</v>
      </c>
      <c r="AC8" s="129" t="s">
        <v>17</v>
      </c>
      <c r="AD8" s="92"/>
      <c r="AE8" s="14" t="s">
        <v>16</v>
      </c>
      <c r="AF8" s="110" t="s">
        <v>1059</v>
      </c>
      <c r="AG8" s="111" t="s">
        <v>1054</v>
      </c>
      <c r="AH8" s="112">
        <v>3.0</v>
      </c>
      <c r="AI8" s="113">
        <v>3.0</v>
      </c>
      <c r="AJ8" s="111">
        <f t="shared" ref="AJ8:AK8" si="26">AH4+AH6+AH7+AH8</f>
        <v>8</v>
      </c>
      <c r="AK8" s="111">
        <f t="shared" si="26"/>
        <v>9</v>
      </c>
      <c r="AL8" s="115">
        <f t="shared" si="10"/>
        <v>1.125</v>
      </c>
      <c r="AM8" s="116" t="s">
        <v>1047</v>
      </c>
      <c r="AN8" s="86"/>
      <c r="AO8" s="86"/>
      <c r="AP8" s="86"/>
      <c r="AQ8" s="86"/>
      <c r="AR8" s="86"/>
      <c r="AS8" s="86"/>
      <c r="AT8" s="86"/>
      <c r="AU8" s="86"/>
      <c r="AV8" s="130"/>
      <c r="AW8" s="131"/>
    </row>
    <row r="9" ht="12.75" customHeight="1">
      <c r="A9" s="14" t="s">
        <v>1027</v>
      </c>
      <c r="B9" s="95" t="s">
        <v>1060</v>
      </c>
      <c r="C9" s="12" t="s">
        <v>1037</v>
      </c>
      <c r="D9" s="101">
        <v>2.0</v>
      </c>
      <c r="E9" s="96">
        <v>2.0</v>
      </c>
      <c r="F9" s="56">
        <f t="shared" ref="F9:G9" si="27">D8+D9</f>
        <v>3</v>
      </c>
      <c r="G9" s="56">
        <f t="shared" si="27"/>
        <v>3</v>
      </c>
      <c r="H9" s="102">
        <f t="shared" si="14"/>
        <v>1</v>
      </c>
      <c r="I9" s="106" t="s">
        <v>1038</v>
      </c>
      <c r="J9" s="86"/>
      <c r="K9" s="99" t="s">
        <v>116</v>
      </c>
      <c r="L9" s="100" t="s">
        <v>1061</v>
      </c>
      <c r="M9" s="108" t="s">
        <v>1037</v>
      </c>
      <c r="N9" s="101">
        <v>1.0</v>
      </c>
      <c r="O9" s="96">
        <v>1.0</v>
      </c>
      <c r="P9" s="56">
        <f t="shared" ref="P9:Q9" si="28">N8+N9</f>
        <v>2</v>
      </c>
      <c r="Q9" s="56">
        <f t="shared" si="28"/>
        <v>2</v>
      </c>
      <c r="R9" s="102">
        <f t="shared" si="7"/>
        <v>1</v>
      </c>
      <c r="S9" s="103" t="s">
        <v>1031</v>
      </c>
      <c r="T9" s="104"/>
      <c r="U9" s="14" t="s">
        <v>202</v>
      </c>
      <c r="V9" s="95" t="s">
        <v>1061</v>
      </c>
      <c r="W9" s="12" t="s">
        <v>1037</v>
      </c>
      <c r="X9" s="109">
        <v>1.0</v>
      </c>
      <c r="Y9" s="105">
        <v>2.0</v>
      </c>
      <c r="Z9" s="56">
        <f t="shared" ref="Z9:AA9" si="29">X8+X9</f>
        <v>1</v>
      </c>
      <c r="AA9" s="56">
        <f t="shared" si="29"/>
        <v>3</v>
      </c>
      <c r="AB9" s="102">
        <f t="shared" ref="AB9:AB13" si="34">AA9/Z9</f>
        <v>3</v>
      </c>
      <c r="AC9" s="103" t="s">
        <v>1041</v>
      </c>
      <c r="AD9" s="92"/>
      <c r="AE9" s="14" t="s">
        <v>16</v>
      </c>
      <c r="AF9" s="132" t="s">
        <v>1062</v>
      </c>
      <c r="AG9" s="121" t="s">
        <v>1029</v>
      </c>
      <c r="AH9" s="122">
        <v>2.0</v>
      </c>
      <c r="AI9" s="123">
        <v>2.0</v>
      </c>
      <c r="AJ9" s="124">
        <f t="shared" ref="AJ9:AK9" si="30">AH9</f>
        <v>2</v>
      </c>
      <c r="AK9" s="124">
        <f t="shared" si="30"/>
        <v>2</v>
      </c>
      <c r="AL9" s="125">
        <f t="shared" si="10"/>
        <v>1</v>
      </c>
      <c r="AM9" s="126" t="s">
        <v>1038</v>
      </c>
      <c r="AN9" s="86"/>
      <c r="AO9" s="5" t="s">
        <v>1063</v>
      </c>
      <c r="AP9" s="5" t="s">
        <v>1013</v>
      </c>
      <c r="AQ9" s="5" t="s">
        <v>1014</v>
      </c>
      <c r="AR9" s="93" t="s">
        <v>1023</v>
      </c>
      <c r="AS9" s="94" t="s">
        <v>1016</v>
      </c>
      <c r="AT9" s="93" t="s">
        <v>1024</v>
      </c>
      <c r="AU9" s="93" t="s">
        <v>1018</v>
      </c>
      <c r="AV9" s="5" t="s">
        <v>1025</v>
      </c>
      <c r="AW9" s="5" t="s">
        <v>1020</v>
      </c>
    </row>
    <row r="10" ht="12.75" customHeight="1">
      <c r="A10" s="14" t="s">
        <v>1027</v>
      </c>
      <c r="B10" s="110" t="s">
        <v>1064</v>
      </c>
      <c r="C10" s="111" t="s">
        <v>1049</v>
      </c>
      <c r="D10" s="112">
        <v>3.0</v>
      </c>
      <c r="E10" s="113">
        <v>2.0</v>
      </c>
      <c r="F10" s="114">
        <f t="shared" ref="F10:G10" si="31">D8+D9+D10</f>
        <v>6</v>
      </c>
      <c r="G10" s="114">
        <f t="shared" si="31"/>
        <v>5</v>
      </c>
      <c r="H10" s="115">
        <f t="shared" si="14"/>
        <v>0.8333333333</v>
      </c>
      <c r="I10" s="116" t="s">
        <v>1047</v>
      </c>
      <c r="J10" s="86"/>
      <c r="K10" s="99" t="s">
        <v>116</v>
      </c>
      <c r="L10" s="117" t="s">
        <v>1065</v>
      </c>
      <c r="M10" s="111" t="s">
        <v>1049</v>
      </c>
      <c r="N10" s="112">
        <v>2.0</v>
      </c>
      <c r="O10" s="113">
        <v>2.0</v>
      </c>
      <c r="P10" s="114">
        <f t="shared" ref="P10:Q10" si="32">N8+N9+N10</f>
        <v>4</v>
      </c>
      <c r="Q10" s="114">
        <f t="shared" si="32"/>
        <v>4</v>
      </c>
      <c r="R10" s="115">
        <f t="shared" si="7"/>
        <v>1</v>
      </c>
      <c r="S10" s="118" t="s">
        <v>1038</v>
      </c>
      <c r="T10" s="104"/>
      <c r="U10" s="14" t="s">
        <v>202</v>
      </c>
      <c r="V10" s="110" t="s">
        <v>1065</v>
      </c>
      <c r="W10" s="111" t="s">
        <v>1049</v>
      </c>
      <c r="X10" s="133">
        <v>2.0</v>
      </c>
      <c r="Y10" s="134">
        <v>5.0</v>
      </c>
      <c r="Z10" s="114">
        <f t="shared" ref="Z10:AA10" si="33">X8+X9+X10</f>
        <v>3</v>
      </c>
      <c r="AA10" s="114">
        <f t="shared" si="33"/>
        <v>8</v>
      </c>
      <c r="AB10" s="115">
        <f t="shared" si="34"/>
        <v>2.666666667</v>
      </c>
      <c r="AC10" s="118" t="s">
        <v>1066</v>
      </c>
      <c r="AD10" s="92"/>
      <c r="AE10" s="14" t="s">
        <v>16</v>
      </c>
      <c r="AF10" s="14" t="s">
        <v>1067</v>
      </c>
      <c r="AG10" s="108" t="s">
        <v>1037</v>
      </c>
      <c r="AH10" s="101">
        <v>2.0</v>
      </c>
      <c r="AI10" s="96">
        <v>1.0</v>
      </c>
      <c r="AJ10" s="56">
        <f t="shared" ref="AJ10:AK10" si="35">AH9+AH10</f>
        <v>4</v>
      </c>
      <c r="AK10" s="56">
        <f t="shared" si="35"/>
        <v>3</v>
      </c>
      <c r="AL10" s="102">
        <f t="shared" si="10"/>
        <v>0.75</v>
      </c>
      <c r="AM10" s="106" t="s">
        <v>1038</v>
      </c>
      <c r="AN10" s="86"/>
      <c r="AO10" s="14" t="s">
        <v>129</v>
      </c>
      <c r="AP10" s="100" t="s">
        <v>1068</v>
      </c>
      <c r="AQ10" s="12" t="s">
        <v>1029</v>
      </c>
      <c r="AR10" s="101">
        <v>2.0</v>
      </c>
      <c r="AS10" s="105">
        <v>8.0</v>
      </c>
      <c r="AT10" s="56">
        <f t="shared" ref="AT10:AU10" si="36">AR10</f>
        <v>2</v>
      </c>
      <c r="AU10" s="12">
        <f t="shared" si="36"/>
        <v>8</v>
      </c>
      <c r="AV10" s="107">
        <f t="shared" ref="AV10:AV12" si="41">AU10/AT10</f>
        <v>4</v>
      </c>
      <c r="AW10" s="103" t="s">
        <v>1035</v>
      </c>
    </row>
    <row r="11" ht="12.75" customHeight="1">
      <c r="A11" s="30" t="s">
        <v>1027</v>
      </c>
      <c r="B11" s="135" t="s">
        <v>1069</v>
      </c>
      <c r="C11" s="136" t="s">
        <v>1029</v>
      </c>
      <c r="D11" s="137">
        <v>1.0</v>
      </c>
      <c r="E11" s="138">
        <v>1.0</v>
      </c>
      <c r="F11" s="139">
        <f t="shared" ref="F11:G11" si="37">D11</f>
        <v>1</v>
      </c>
      <c r="G11" s="139">
        <f t="shared" si="37"/>
        <v>1</v>
      </c>
      <c r="H11" s="140">
        <f t="shared" si="14"/>
        <v>1</v>
      </c>
      <c r="I11" s="141" t="s">
        <v>1031</v>
      </c>
      <c r="J11" s="86"/>
      <c r="K11" s="99" t="s">
        <v>116</v>
      </c>
      <c r="L11" s="127" t="s">
        <v>1070</v>
      </c>
      <c r="M11" s="121" t="s">
        <v>1029</v>
      </c>
      <c r="N11" s="122">
        <v>1.0</v>
      </c>
      <c r="O11" s="123">
        <v>1.0</v>
      </c>
      <c r="P11" s="124">
        <f t="shared" ref="P11:Q11" si="38">N11</f>
        <v>1</v>
      </c>
      <c r="Q11" s="124">
        <f t="shared" si="38"/>
        <v>1</v>
      </c>
      <c r="R11" s="125">
        <f t="shared" si="7"/>
        <v>1</v>
      </c>
      <c r="S11" s="128" t="s">
        <v>1031</v>
      </c>
      <c r="T11" s="104"/>
      <c r="U11" s="14" t="s">
        <v>202</v>
      </c>
      <c r="V11" s="120" t="s">
        <v>1070</v>
      </c>
      <c r="W11" s="121" t="s">
        <v>1029</v>
      </c>
      <c r="X11" s="122">
        <v>1.0</v>
      </c>
      <c r="Y11" s="123">
        <v>2.0</v>
      </c>
      <c r="Z11" s="124">
        <v>3.0</v>
      </c>
      <c r="AA11" s="124">
        <v>1.0</v>
      </c>
      <c r="AB11" s="125">
        <f t="shared" si="34"/>
        <v>0.3333333333</v>
      </c>
      <c r="AC11" s="128" t="s">
        <v>1041</v>
      </c>
      <c r="AD11" s="92"/>
      <c r="AE11" s="14" t="s">
        <v>16</v>
      </c>
      <c r="AF11" s="30" t="s">
        <v>1071</v>
      </c>
      <c r="AG11" s="111" t="s">
        <v>1049</v>
      </c>
      <c r="AH11" s="112">
        <v>3.0</v>
      </c>
      <c r="AI11" s="113">
        <v>2.0</v>
      </c>
      <c r="AJ11" s="114">
        <f t="shared" ref="AJ11:AK11" si="39">AH9+AH10+AH11</f>
        <v>7</v>
      </c>
      <c r="AK11" s="114">
        <f t="shared" si="39"/>
        <v>5</v>
      </c>
      <c r="AL11" s="115">
        <f t="shared" si="10"/>
        <v>0.7142857143</v>
      </c>
      <c r="AM11" s="116" t="s">
        <v>1047</v>
      </c>
      <c r="AN11" s="86"/>
      <c r="AO11" s="14" t="s">
        <v>129</v>
      </c>
      <c r="AP11" s="100" t="s">
        <v>1072</v>
      </c>
      <c r="AQ11" s="12" t="s">
        <v>1029</v>
      </c>
      <c r="AR11" s="101">
        <v>2.0</v>
      </c>
      <c r="AS11" s="105">
        <v>8.0</v>
      </c>
      <c r="AT11" s="56">
        <f t="shared" ref="AT11:AU11" si="40">AR11</f>
        <v>2</v>
      </c>
      <c r="AU11" s="12">
        <f t="shared" si="40"/>
        <v>8</v>
      </c>
      <c r="AV11" s="107">
        <f t="shared" si="41"/>
        <v>4</v>
      </c>
      <c r="AW11" s="103" t="s">
        <v>1035</v>
      </c>
    </row>
    <row r="12" ht="12.75" customHeight="1">
      <c r="A12" s="34" t="s">
        <v>125</v>
      </c>
      <c r="B12" s="95" t="s">
        <v>1073</v>
      </c>
      <c r="C12" s="12" t="s">
        <v>1029</v>
      </c>
      <c r="D12" s="101">
        <v>2.0</v>
      </c>
      <c r="E12" s="96">
        <v>2.0</v>
      </c>
      <c r="F12" s="56">
        <f t="shared" ref="F12:G12" si="42">D12</f>
        <v>2</v>
      </c>
      <c r="G12" s="56">
        <f t="shared" si="42"/>
        <v>2</v>
      </c>
      <c r="H12" s="102">
        <f t="shared" si="14"/>
        <v>1</v>
      </c>
      <c r="I12" s="106" t="s">
        <v>1038</v>
      </c>
      <c r="J12" s="86"/>
      <c r="K12" s="99" t="s">
        <v>116</v>
      </c>
      <c r="L12" s="117" t="s">
        <v>1074</v>
      </c>
      <c r="M12" s="142" t="s">
        <v>1037</v>
      </c>
      <c r="N12" s="112">
        <v>1.0</v>
      </c>
      <c r="O12" s="113">
        <v>1.0</v>
      </c>
      <c r="P12" s="114">
        <f t="shared" ref="P12:Q12" si="43">N11+N12</f>
        <v>2</v>
      </c>
      <c r="Q12" s="114">
        <f t="shared" si="43"/>
        <v>2</v>
      </c>
      <c r="R12" s="115">
        <f t="shared" si="7"/>
        <v>1</v>
      </c>
      <c r="S12" s="118" t="s">
        <v>1031</v>
      </c>
      <c r="T12" s="143"/>
      <c r="U12" s="14" t="s">
        <v>202</v>
      </c>
      <c r="V12" s="110" t="s">
        <v>1075</v>
      </c>
      <c r="W12" s="111" t="s">
        <v>1037</v>
      </c>
      <c r="X12" s="112">
        <v>2.0</v>
      </c>
      <c r="Y12" s="113">
        <v>4.0</v>
      </c>
      <c r="Z12" s="114">
        <f t="shared" ref="Z12:AA12" si="44">X11+X12</f>
        <v>3</v>
      </c>
      <c r="AA12" s="114">
        <f t="shared" si="44"/>
        <v>6</v>
      </c>
      <c r="AB12" s="115">
        <f t="shared" si="34"/>
        <v>2</v>
      </c>
      <c r="AC12" s="118" t="s">
        <v>1066</v>
      </c>
      <c r="AD12" s="92"/>
      <c r="AE12" s="14" t="s">
        <v>16</v>
      </c>
      <c r="AF12" s="132" t="s">
        <v>1076</v>
      </c>
      <c r="AG12" s="121" t="s">
        <v>1029</v>
      </c>
      <c r="AH12" s="124">
        <v>0.0</v>
      </c>
      <c r="AI12" s="123">
        <v>1.0</v>
      </c>
      <c r="AJ12" s="124">
        <f t="shared" ref="AJ12:AK12" si="45">AH12</f>
        <v>0</v>
      </c>
      <c r="AK12" s="124">
        <f t="shared" si="45"/>
        <v>1</v>
      </c>
      <c r="AL12" s="125">
        <f>AK12</f>
        <v>1</v>
      </c>
      <c r="AM12" s="129" t="s">
        <v>17</v>
      </c>
      <c r="AN12" s="86"/>
      <c r="AO12" s="14" t="s">
        <v>129</v>
      </c>
      <c r="AP12" s="117" t="s">
        <v>1077</v>
      </c>
      <c r="AQ12" s="111" t="s">
        <v>1029</v>
      </c>
      <c r="AR12" s="112">
        <v>2.0</v>
      </c>
      <c r="AS12" s="134">
        <v>8.0</v>
      </c>
      <c r="AT12" s="114">
        <f t="shared" ref="AT12:AU12" si="46">AR12</f>
        <v>2</v>
      </c>
      <c r="AU12" s="111">
        <f t="shared" si="46"/>
        <v>8</v>
      </c>
      <c r="AV12" s="144">
        <f t="shared" si="41"/>
        <v>4</v>
      </c>
      <c r="AW12" s="118" t="s">
        <v>1035</v>
      </c>
    </row>
    <row r="13" ht="12.75" customHeight="1">
      <c r="A13" s="13" t="s">
        <v>1056</v>
      </c>
      <c r="D13" s="119">
        <f>SUM(D4:D12)</f>
        <v>14</v>
      </c>
      <c r="E13" s="14"/>
      <c r="F13" s="14"/>
      <c r="G13" s="14"/>
      <c r="H13" s="12"/>
      <c r="I13" s="103"/>
      <c r="J13" s="86"/>
      <c r="K13" s="99" t="s">
        <v>116</v>
      </c>
      <c r="L13" s="145" t="s">
        <v>1078</v>
      </c>
      <c r="M13" s="136" t="s">
        <v>1029</v>
      </c>
      <c r="N13" s="137">
        <v>1.0</v>
      </c>
      <c r="O13" s="138">
        <v>1.0</v>
      </c>
      <c r="P13" s="139">
        <f t="shared" ref="P13:Q13" si="47">N13</f>
        <v>1</v>
      </c>
      <c r="Q13" s="139">
        <f t="shared" si="47"/>
        <v>1</v>
      </c>
      <c r="R13" s="140">
        <f t="shared" si="7"/>
        <v>1</v>
      </c>
      <c r="S13" s="146" t="s">
        <v>1031</v>
      </c>
      <c r="T13" s="92"/>
      <c r="U13" s="14" t="s">
        <v>379</v>
      </c>
      <c r="V13" s="95" t="s">
        <v>1073</v>
      </c>
      <c r="W13" s="12" t="s">
        <v>1029</v>
      </c>
      <c r="X13" s="101">
        <v>1.0</v>
      </c>
      <c r="Y13" s="56">
        <v>3.0</v>
      </c>
      <c r="Z13" s="56">
        <f t="shared" ref="Z13:AA13" si="48">X13</f>
        <v>1</v>
      </c>
      <c r="AA13" s="56">
        <f t="shared" si="48"/>
        <v>3</v>
      </c>
      <c r="AB13" s="102">
        <f t="shared" si="34"/>
        <v>3</v>
      </c>
      <c r="AC13" s="103" t="s">
        <v>1041</v>
      </c>
      <c r="AD13" s="92"/>
      <c r="AE13" s="14" t="s">
        <v>16</v>
      </c>
      <c r="AF13" s="30" t="s">
        <v>1079</v>
      </c>
      <c r="AG13" s="142" t="s">
        <v>1037</v>
      </c>
      <c r="AH13" s="112">
        <v>2.0</v>
      </c>
      <c r="AI13" s="113">
        <v>2.0</v>
      </c>
      <c r="AJ13" s="114">
        <f t="shared" ref="AJ13:AK13" si="49">AH12+AH13</f>
        <v>2</v>
      </c>
      <c r="AK13" s="114">
        <f t="shared" si="49"/>
        <v>3</v>
      </c>
      <c r="AL13" s="115">
        <f t="shared" ref="AL13:AL15" si="53">AK13/AJ13</f>
        <v>1.5</v>
      </c>
      <c r="AM13" s="116" t="s">
        <v>1038</v>
      </c>
      <c r="AN13" s="86"/>
      <c r="AO13" s="14" t="s">
        <v>129</v>
      </c>
      <c r="AP13" s="100" t="s">
        <v>1080</v>
      </c>
      <c r="AQ13" s="12" t="s">
        <v>1029</v>
      </c>
      <c r="AR13" s="101">
        <v>0.0</v>
      </c>
      <c r="AS13" s="105">
        <v>8.0</v>
      </c>
      <c r="AT13" s="56">
        <f t="shared" ref="AT13:AU13" si="50">AR13</f>
        <v>0</v>
      </c>
      <c r="AU13" s="12">
        <f t="shared" si="50"/>
        <v>8</v>
      </c>
      <c r="AV13" s="107">
        <f>AU13</f>
        <v>8</v>
      </c>
      <c r="AW13" s="98" t="s">
        <v>17</v>
      </c>
    </row>
    <row r="14" ht="12.75" customHeight="1">
      <c r="D14" s="14"/>
      <c r="E14" s="14"/>
      <c r="F14" s="14"/>
      <c r="G14" s="14"/>
      <c r="H14" s="12"/>
      <c r="I14" s="103"/>
      <c r="J14" s="86"/>
      <c r="K14" s="99" t="s">
        <v>116</v>
      </c>
      <c r="L14" s="145" t="s">
        <v>1081</v>
      </c>
      <c r="M14" s="136" t="s">
        <v>1029</v>
      </c>
      <c r="N14" s="137">
        <v>1.0</v>
      </c>
      <c r="O14" s="138">
        <v>1.0</v>
      </c>
      <c r="P14" s="139">
        <f t="shared" ref="P14:Q14" si="51">N14</f>
        <v>1</v>
      </c>
      <c r="Q14" s="139">
        <f t="shared" si="51"/>
        <v>1</v>
      </c>
      <c r="R14" s="140">
        <f t="shared" si="7"/>
        <v>1</v>
      </c>
      <c r="S14" s="146" t="s">
        <v>1031</v>
      </c>
      <c r="T14" s="104"/>
      <c r="U14" s="13" t="s">
        <v>1056</v>
      </c>
      <c r="X14" s="119">
        <f>SUM(X4:X13)</f>
        <v>10</v>
      </c>
      <c r="AD14" s="92"/>
      <c r="AE14" s="14" t="s">
        <v>16</v>
      </c>
      <c r="AF14" s="120" t="s">
        <v>1082</v>
      </c>
      <c r="AG14" s="121" t="s">
        <v>1029</v>
      </c>
      <c r="AH14" s="147">
        <v>1.0</v>
      </c>
      <c r="AI14" s="148">
        <v>1.0</v>
      </c>
      <c r="AJ14" s="121">
        <f t="shared" ref="AJ14:AK14" si="52">AH14</f>
        <v>1</v>
      </c>
      <c r="AK14" s="121">
        <f t="shared" si="52"/>
        <v>1</v>
      </c>
      <c r="AL14" s="125">
        <f t="shared" si="53"/>
        <v>1</v>
      </c>
      <c r="AM14" s="126" t="s">
        <v>1031</v>
      </c>
      <c r="AN14" s="86"/>
      <c r="AO14" s="14" t="s">
        <v>129</v>
      </c>
      <c r="AP14" s="100" t="s">
        <v>1083</v>
      </c>
      <c r="AQ14" s="108" t="s">
        <v>1037</v>
      </c>
      <c r="AR14" s="101">
        <v>1.0</v>
      </c>
      <c r="AS14" s="105">
        <v>8.0</v>
      </c>
      <c r="AT14" s="56">
        <f t="shared" ref="AT14:AU14" si="54">AR13+AR14</f>
        <v>1</v>
      </c>
      <c r="AU14" s="12">
        <f t="shared" si="54"/>
        <v>16</v>
      </c>
      <c r="AV14" s="107">
        <f>AU14/AT14</f>
        <v>16</v>
      </c>
      <c r="AW14" s="103" t="s">
        <v>1084</v>
      </c>
    </row>
    <row r="15" ht="12.75" customHeight="1">
      <c r="A15" s="14" t="s">
        <v>92</v>
      </c>
      <c r="B15" s="95" t="s">
        <v>1032</v>
      </c>
      <c r="C15" s="12" t="s">
        <v>1029</v>
      </c>
      <c r="D15" s="101">
        <v>1.0</v>
      </c>
      <c r="E15" s="96">
        <v>1.0</v>
      </c>
      <c r="F15" s="56">
        <f t="shared" ref="F15:G15" si="55">D15</f>
        <v>1</v>
      </c>
      <c r="G15" s="56">
        <f t="shared" si="55"/>
        <v>1</v>
      </c>
      <c r="H15" s="102">
        <f t="shared" ref="H15:H18" si="59">G15/F15</f>
        <v>1</v>
      </c>
      <c r="I15" s="106" t="s">
        <v>1031</v>
      </c>
      <c r="J15" s="86"/>
      <c r="K15" s="99" t="s">
        <v>116</v>
      </c>
      <c r="L15" s="145" t="s">
        <v>1085</v>
      </c>
      <c r="M15" s="136" t="s">
        <v>1029</v>
      </c>
      <c r="N15" s="137">
        <v>1.0</v>
      </c>
      <c r="O15" s="138">
        <v>1.0</v>
      </c>
      <c r="P15" s="139">
        <f t="shared" ref="P15:Q15" si="56">N15</f>
        <v>1</v>
      </c>
      <c r="Q15" s="139">
        <f t="shared" si="56"/>
        <v>1</v>
      </c>
      <c r="R15" s="140">
        <f t="shared" si="7"/>
        <v>1</v>
      </c>
      <c r="S15" s="146" t="s">
        <v>1031</v>
      </c>
      <c r="T15" s="104"/>
      <c r="AD15" s="92"/>
      <c r="AE15" s="14" t="s">
        <v>16</v>
      </c>
      <c r="AF15" s="95" t="s">
        <v>1086</v>
      </c>
      <c r="AG15" s="108" t="s">
        <v>1037</v>
      </c>
      <c r="AH15" s="109">
        <v>2.0</v>
      </c>
      <c r="AI15" s="105">
        <v>2.0</v>
      </c>
      <c r="AJ15" s="12">
        <f t="shared" ref="AJ15:AK15" si="57">AH14+AH15</f>
        <v>3</v>
      </c>
      <c r="AK15" s="12">
        <f t="shared" si="57"/>
        <v>3</v>
      </c>
      <c r="AL15" s="102">
        <f t="shared" si="53"/>
        <v>1</v>
      </c>
      <c r="AM15" s="106" t="s">
        <v>1038</v>
      </c>
      <c r="AN15" s="86"/>
      <c r="AO15" s="13" t="s">
        <v>1056</v>
      </c>
      <c r="AP15" s="95"/>
      <c r="AR15" s="119">
        <f>SUM(AT10:AT14)</f>
        <v>7</v>
      </c>
    </row>
    <row r="16" ht="12.75" customHeight="1">
      <c r="A16" s="14" t="s">
        <v>92</v>
      </c>
      <c r="B16" s="95" t="s">
        <v>1046</v>
      </c>
      <c r="C16" s="12" t="s">
        <v>1037</v>
      </c>
      <c r="D16" s="101">
        <v>2.0</v>
      </c>
      <c r="E16" s="96">
        <v>1.0</v>
      </c>
      <c r="F16" s="56">
        <f t="shared" ref="F16:G16" si="58">D15+D16</f>
        <v>3</v>
      </c>
      <c r="G16" s="56">
        <f t="shared" si="58"/>
        <v>2</v>
      </c>
      <c r="H16" s="102">
        <f t="shared" si="59"/>
        <v>0.6666666667</v>
      </c>
      <c r="I16" s="106" t="s">
        <v>1038</v>
      </c>
      <c r="J16" s="86"/>
      <c r="K16" s="99" t="s">
        <v>116</v>
      </c>
      <c r="L16" s="145" t="s">
        <v>1087</v>
      </c>
      <c r="M16" s="136" t="s">
        <v>1029</v>
      </c>
      <c r="N16" s="137">
        <v>1.0</v>
      </c>
      <c r="O16" s="138">
        <v>1.0</v>
      </c>
      <c r="P16" s="139">
        <f t="shared" ref="P16:Q16" si="60">N16</f>
        <v>1</v>
      </c>
      <c r="Q16" s="139">
        <f t="shared" si="60"/>
        <v>1</v>
      </c>
      <c r="R16" s="140">
        <f t="shared" si="7"/>
        <v>1</v>
      </c>
      <c r="S16" s="146" t="s">
        <v>1031</v>
      </c>
      <c r="T16" s="104"/>
      <c r="U16" s="14" t="s">
        <v>1088</v>
      </c>
      <c r="V16" s="95" t="s">
        <v>1030</v>
      </c>
      <c r="W16" s="12" t="s">
        <v>1029</v>
      </c>
      <c r="X16" s="101">
        <v>1.0</v>
      </c>
      <c r="Y16" s="96">
        <v>1.0</v>
      </c>
      <c r="Z16" s="56">
        <f t="shared" ref="Z16:AA16" si="61">X16</f>
        <v>1</v>
      </c>
      <c r="AA16" s="56">
        <f t="shared" si="61"/>
        <v>1</v>
      </c>
      <c r="AB16" s="102">
        <f t="shared" ref="AB16:AB30" si="65">AA16/Z16</f>
        <v>1</v>
      </c>
      <c r="AC16" s="106" t="s">
        <v>1031</v>
      </c>
      <c r="AD16" s="92"/>
      <c r="AE16" s="14" t="s">
        <v>16</v>
      </c>
      <c r="AF16" s="95" t="s">
        <v>1089</v>
      </c>
      <c r="AG16" s="12" t="s">
        <v>1037</v>
      </c>
      <c r="AH16" s="12">
        <v>0.0</v>
      </c>
      <c r="AI16" s="105">
        <v>1.0</v>
      </c>
      <c r="AJ16" s="12">
        <f>AH14+AH15+AH16</f>
        <v>3</v>
      </c>
      <c r="AK16" s="12">
        <f>AI14+AI16</f>
        <v>2</v>
      </c>
      <c r="AL16" s="102">
        <f t="shared" ref="AL16:AL17" si="66">AK16</f>
        <v>2</v>
      </c>
      <c r="AM16" s="98" t="s">
        <v>17</v>
      </c>
      <c r="AN16" s="86"/>
      <c r="AO16" s="86"/>
      <c r="AP16" s="86"/>
      <c r="AQ16" s="86"/>
      <c r="AR16" s="86"/>
      <c r="AS16" s="86"/>
      <c r="AT16" s="86"/>
      <c r="AU16" s="86"/>
      <c r="AV16" s="86"/>
      <c r="AW16" s="86"/>
    </row>
    <row r="17" ht="12.75" customHeight="1">
      <c r="A17" s="30" t="s">
        <v>92</v>
      </c>
      <c r="B17" s="110" t="s">
        <v>1090</v>
      </c>
      <c r="C17" s="111" t="s">
        <v>1049</v>
      </c>
      <c r="D17" s="112">
        <v>2.0</v>
      </c>
      <c r="E17" s="113">
        <v>1.0</v>
      </c>
      <c r="F17" s="149">
        <f t="shared" ref="F17:G17" si="62">D15+D16+D17</f>
        <v>5</v>
      </c>
      <c r="G17" s="114">
        <f t="shared" si="62"/>
        <v>3</v>
      </c>
      <c r="H17" s="115">
        <f t="shared" si="59"/>
        <v>0.6</v>
      </c>
      <c r="I17" s="116" t="s">
        <v>1038</v>
      </c>
      <c r="J17" s="86"/>
      <c r="K17" s="99" t="s">
        <v>116</v>
      </c>
      <c r="L17" s="127" t="s">
        <v>1091</v>
      </c>
      <c r="M17" s="121" t="s">
        <v>1029</v>
      </c>
      <c r="N17" s="122">
        <v>1.0</v>
      </c>
      <c r="O17" s="123">
        <v>1.0</v>
      </c>
      <c r="P17" s="124">
        <f t="shared" ref="P17:Q17" si="63">N17</f>
        <v>1</v>
      </c>
      <c r="Q17" s="124">
        <f t="shared" si="63"/>
        <v>1</v>
      </c>
      <c r="R17" s="125">
        <f t="shared" si="7"/>
        <v>1</v>
      </c>
      <c r="S17" s="128" t="s">
        <v>1031</v>
      </c>
      <c r="T17" s="104"/>
      <c r="U17" s="14" t="s">
        <v>1088</v>
      </c>
      <c r="V17" s="95" t="s">
        <v>1039</v>
      </c>
      <c r="W17" s="12" t="s">
        <v>1037</v>
      </c>
      <c r="X17" s="101">
        <v>1.0</v>
      </c>
      <c r="Y17" s="96">
        <v>2.0</v>
      </c>
      <c r="Z17" s="12">
        <f t="shared" ref="Z17:AA17" si="64">X16+X17</f>
        <v>2</v>
      </c>
      <c r="AA17" s="12">
        <f t="shared" si="64"/>
        <v>3</v>
      </c>
      <c r="AB17" s="102">
        <f t="shared" si="65"/>
        <v>1.5</v>
      </c>
      <c r="AC17" s="106" t="s">
        <v>1031</v>
      </c>
      <c r="AD17" s="92"/>
      <c r="AE17" s="14" t="s">
        <v>16</v>
      </c>
      <c r="AF17" s="95" t="s">
        <v>1092</v>
      </c>
      <c r="AG17" s="12" t="s">
        <v>1049</v>
      </c>
      <c r="AH17" s="12">
        <v>0.0</v>
      </c>
      <c r="AI17" s="105">
        <v>1.0</v>
      </c>
      <c r="AJ17" s="12">
        <f>AH14+AH15+AH16+AH17</f>
        <v>3</v>
      </c>
      <c r="AK17" s="12">
        <f>AI14+AI16+AI17</f>
        <v>3</v>
      </c>
      <c r="AL17" s="102">
        <f t="shared" si="66"/>
        <v>3</v>
      </c>
      <c r="AM17" s="98" t="s">
        <v>17</v>
      </c>
      <c r="AN17" s="86"/>
      <c r="AO17" s="5" t="s">
        <v>1093</v>
      </c>
      <c r="AP17" s="5" t="s">
        <v>1013</v>
      </c>
      <c r="AQ17" s="5" t="s">
        <v>1014</v>
      </c>
      <c r="AR17" s="93" t="s">
        <v>1023</v>
      </c>
      <c r="AS17" s="94" t="s">
        <v>1016</v>
      </c>
      <c r="AT17" s="93" t="s">
        <v>1024</v>
      </c>
      <c r="AU17" s="93" t="s">
        <v>1018</v>
      </c>
      <c r="AV17" s="5" t="s">
        <v>1025</v>
      </c>
      <c r="AW17" s="5" t="s">
        <v>1020</v>
      </c>
    </row>
    <row r="18" ht="12.75" customHeight="1">
      <c r="A18" s="14" t="s">
        <v>80</v>
      </c>
      <c r="B18" s="95" t="s">
        <v>1073</v>
      </c>
      <c r="C18" s="12" t="s">
        <v>1029</v>
      </c>
      <c r="D18" s="101">
        <v>2.0</v>
      </c>
      <c r="E18" s="96">
        <v>3.0</v>
      </c>
      <c r="F18" s="56">
        <f t="shared" ref="F18:G18" si="67">D18</f>
        <v>2</v>
      </c>
      <c r="G18" s="56">
        <f t="shared" si="67"/>
        <v>3</v>
      </c>
      <c r="H18" s="102">
        <f t="shared" si="59"/>
        <v>1.5</v>
      </c>
      <c r="I18" s="106" t="s">
        <v>1038</v>
      </c>
      <c r="J18" s="86"/>
      <c r="K18" s="99" t="s">
        <v>116</v>
      </c>
      <c r="L18" s="117" t="s">
        <v>1094</v>
      </c>
      <c r="M18" s="142" t="s">
        <v>1037</v>
      </c>
      <c r="N18" s="112">
        <v>1.0</v>
      </c>
      <c r="O18" s="113">
        <v>1.0</v>
      </c>
      <c r="P18" s="114">
        <f t="shared" ref="P18:Q18" si="68">N17+N18</f>
        <v>2</v>
      </c>
      <c r="Q18" s="114">
        <f t="shared" si="68"/>
        <v>2</v>
      </c>
      <c r="R18" s="115">
        <f t="shared" si="7"/>
        <v>1</v>
      </c>
      <c r="S18" s="118" t="s">
        <v>1031</v>
      </c>
      <c r="T18" s="143"/>
      <c r="U18" s="14" t="s">
        <v>1088</v>
      </c>
      <c r="V18" s="95" t="s">
        <v>1040</v>
      </c>
      <c r="W18" s="12" t="s">
        <v>1037</v>
      </c>
      <c r="X18" s="56">
        <v>0.0</v>
      </c>
      <c r="Y18" s="96">
        <v>2.0</v>
      </c>
      <c r="Z18" s="12">
        <f t="shared" ref="Z18:AA18" si="69">X16+X18</f>
        <v>1</v>
      </c>
      <c r="AA18" s="12">
        <f t="shared" si="69"/>
        <v>3</v>
      </c>
      <c r="AB18" s="102">
        <f t="shared" si="65"/>
        <v>3</v>
      </c>
      <c r="AC18" s="98" t="s">
        <v>17</v>
      </c>
      <c r="AD18" s="92"/>
      <c r="AE18" s="14" t="s">
        <v>16</v>
      </c>
      <c r="AF18" s="95" t="s">
        <v>1095</v>
      </c>
      <c r="AG18" s="108" t="s">
        <v>1054</v>
      </c>
      <c r="AH18" s="109">
        <v>2.0</v>
      </c>
      <c r="AI18" s="105">
        <v>2.0</v>
      </c>
      <c r="AJ18" s="12">
        <f t="shared" ref="AJ18:AK18" si="70">AH14+AH16+AH17+AH18</f>
        <v>3</v>
      </c>
      <c r="AK18" s="12">
        <f t="shared" si="70"/>
        <v>5</v>
      </c>
      <c r="AL18" s="102">
        <f t="shared" ref="AL18:AL25" si="75">AK18/AJ18</f>
        <v>1.666666667</v>
      </c>
      <c r="AM18" s="106" t="s">
        <v>1038</v>
      </c>
      <c r="AN18" s="86"/>
      <c r="AO18" s="14" t="s">
        <v>136</v>
      </c>
      <c r="AP18" s="100" t="s">
        <v>1073</v>
      </c>
      <c r="AQ18" s="12" t="s">
        <v>1029</v>
      </c>
      <c r="AR18" s="109">
        <v>1.0</v>
      </c>
      <c r="AS18" s="96">
        <v>2.0</v>
      </c>
      <c r="AT18" s="150">
        <f t="shared" ref="AT18:AU18" si="71">AR18</f>
        <v>1</v>
      </c>
      <c r="AU18" s="150">
        <f t="shared" si="71"/>
        <v>2</v>
      </c>
      <c r="AV18" s="102">
        <f t="shared" ref="AV18:AV22" si="77">AU18/AT18</f>
        <v>2</v>
      </c>
      <c r="AW18" s="103" t="s">
        <v>1084</v>
      </c>
    </row>
    <row r="19" ht="12.75" customHeight="1">
      <c r="A19" s="13" t="s">
        <v>1056</v>
      </c>
      <c r="D19" s="119">
        <f>SUM(D15:D18)</f>
        <v>7</v>
      </c>
      <c r="E19" s="151" t="s">
        <v>1096</v>
      </c>
      <c r="F19" s="14"/>
      <c r="G19" s="14"/>
      <c r="H19" s="97"/>
      <c r="I19" s="103"/>
      <c r="J19" s="86"/>
      <c r="K19" s="99" t="s">
        <v>116</v>
      </c>
      <c r="L19" s="117" t="s">
        <v>1097</v>
      </c>
      <c r="M19" s="111" t="s">
        <v>1029</v>
      </c>
      <c r="N19" s="112">
        <v>1.0</v>
      </c>
      <c r="O19" s="113">
        <v>1.0</v>
      </c>
      <c r="P19" s="114">
        <f t="shared" ref="P19:Q19" si="72">N19</f>
        <v>1</v>
      </c>
      <c r="Q19" s="114">
        <f t="shared" si="72"/>
        <v>1</v>
      </c>
      <c r="R19" s="115">
        <f t="shared" si="7"/>
        <v>1</v>
      </c>
      <c r="S19" s="118" t="s">
        <v>1031</v>
      </c>
      <c r="T19" s="143"/>
      <c r="U19" s="14" t="s">
        <v>1088</v>
      </c>
      <c r="V19" s="95" t="s">
        <v>1098</v>
      </c>
      <c r="W19" s="12" t="s">
        <v>1049</v>
      </c>
      <c r="X19" s="101">
        <v>1.0</v>
      </c>
      <c r="Y19" s="96">
        <v>2.0</v>
      </c>
      <c r="Z19" s="12">
        <f t="shared" ref="Z19:AA19" si="73">X16+X18+X19</f>
        <v>2</v>
      </c>
      <c r="AA19" s="12">
        <f t="shared" si="73"/>
        <v>5</v>
      </c>
      <c r="AB19" s="102">
        <f t="shared" si="65"/>
        <v>2.5</v>
      </c>
      <c r="AC19" s="106" t="s">
        <v>1031</v>
      </c>
      <c r="AD19" s="92"/>
      <c r="AE19" s="14" t="s">
        <v>16</v>
      </c>
      <c r="AF19" s="95" t="s">
        <v>1099</v>
      </c>
      <c r="AG19" s="108" t="s">
        <v>1100</v>
      </c>
      <c r="AH19" s="109">
        <v>3.0</v>
      </c>
      <c r="AI19" s="105">
        <v>3.0</v>
      </c>
      <c r="AJ19" s="12">
        <f t="shared" ref="AJ19:AK19" si="74">AH14+AH16+AH17+AH18+AH19</f>
        <v>6</v>
      </c>
      <c r="AK19" s="12">
        <f t="shared" si="74"/>
        <v>8</v>
      </c>
      <c r="AL19" s="102">
        <f t="shared" si="75"/>
        <v>1.333333333</v>
      </c>
      <c r="AM19" s="106" t="s">
        <v>1047</v>
      </c>
      <c r="AN19" s="86"/>
      <c r="AO19" s="14" t="s">
        <v>136</v>
      </c>
      <c r="AP19" s="100" t="s">
        <v>1101</v>
      </c>
      <c r="AQ19" s="108" t="s">
        <v>1037</v>
      </c>
      <c r="AR19" s="109">
        <v>2.0</v>
      </c>
      <c r="AS19" s="96">
        <v>2.0</v>
      </c>
      <c r="AT19" s="150">
        <f t="shared" ref="AT19:AU19" si="76">AR18+AR19</f>
        <v>3</v>
      </c>
      <c r="AU19" s="150">
        <f t="shared" si="76"/>
        <v>4</v>
      </c>
      <c r="AV19" s="102">
        <f t="shared" si="77"/>
        <v>1.333333333</v>
      </c>
      <c r="AW19" s="103" t="s">
        <v>1035</v>
      </c>
    </row>
    <row r="20" ht="12.75" customHeight="1">
      <c r="D20" s="14"/>
      <c r="E20" s="14"/>
      <c r="F20" s="14"/>
      <c r="G20" s="14"/>
      <c r="H20" s="97"/>
      <c r="I20" s="103"/>
      <c r="J20" s="86"/>
      <c r="K20" s="99" t="s">
        <v>116</v>
      </c>
      <c r="L20" s="127" t="s">
        <v>1080</v>
      </c>
      <c r="M20" s="121" t="s">
        <v>1029</v>
      </c>
      <c r="N20" s="122">
        <v>1.0</v>
      </c>
      <c r="O20" s="123">
        <v>1.0</v>
      </c>
      <c r="P20" s="121">
        <f t="shared" ref="P20:Q20" si="78">N20</f>
        <v>1</v>
      </c>
      <c r="Q20" s="121">
        <f t="shared" si="78"/>
        <v>1</v>
      </c>
      <c r="R20" s="125">
        <f t="shared" si="7"/>
        <v>1</v>
      </c>
      <c r="S20" s="128" t="s">
        <v>1031</v>
      </c>
      <c r="T20" s="143"/>
      <c r="U20" s="14" t="s">
        <v>1088</v>
      </c>
      <c r="V20" s="95" t="s">
        <v>1090</v>
      </c>
      <c r="W20" s="12" t="s">
        <v>1049</v>
      </c>
      <c r="X20" s="56">
        <v>0.0</v>
      </c>
      <c r="Y20" s="96">
        <v>4.0</v>
      </c>
      <c r="Z20" s="12">
        <f t="shared" ref="Z20:AA20" si="79">X16+X18+X20</f>
        <v>1</v>
      </c>
      <c r="AA20" s="12">
        <f t="shared" si="79"/>
        <v>7</v>
      </c>
      <c r="AB20" s="102">
        <f t="shared" si="65"/>
        <v>7</v>
      </c>
      <c r="AC20" s="98" t="s">
        <v>17</v>
      </c>
      <c r="AD20" s="92"/>
      <c r="AE20" s="14" t="s">
        <v>16</v>
      </c>
      <c r="AF20" s="110" t="s">
        <v>1102</v>
      </c>
      <c r="AG20" s="114" t="s">
        <v>1103</v>
      </c>
      <c r="AH20" s="112">
        <v>3.0</v>
      </c>
      <c r="AI20" s="113">
        <v>3.0</v>
      </c>
      <c r="AJ20" s="114">
        <f t="shared" ref="AJ20:AK20" si="80">AH14+AH16+AH17+AH18+AH19+AH20</f>
        <v>9</v>
      </c>
      <c r="AK20" s="114">
        <f t="shared" si="80"/>
        <v>11</v>
      </c>
      <c r="AL20" s="115">
        <f t="shared" si="75"/>
        <v>1.222222222</v>
      </c>
      <c r="AM20" s="116" t="s">
        <v>1047</v>
      </c>
      <c r="AN20" s="86"/>
      <c r="AO20" s="14" t="s">
        <v>136</v>
      </c>
      <c r="AP20" s="100" t="s">
        <v>1068</v>
      </c>
      <c r="AQ20" s="12" t="s">
        <v>1049</v>
      </c>
      <c r="AR20" s="109">
        <v>2.0</v>
      </c>
      <c r="AS20" s="96">
        <v>3.0</v>
      </c>
      <c r="AT20" s="150">
        <f t="shared" ref="AT20:AU20" si="81">AR18+AR19+AR20</f>
        <v>5</v>
      </c>
      <c r="AU20" s="150">
        <f t="shared" si="81"/>
        <v>7</v>
      </c>
      <c r="AV20" s="102">
        <f t="shared" si="77"/>
        <v>1.4</v>
      </c>
      <c r="AW20" s="103" t="s">
        <v>1035</v>
      </c>
    </row>
    <row r="21" ht="12.75" customHeight="1">
      <c r="A21" s="152" t="s">
        <v>256</v>
      </c>
      <c r="B21" s="110" t="s">
        <v>1104</v>
      </c>
      <c r="C21" s="111" t="s">
        <v>1029</v>
      </c>
      <c r="D21" s="133">
        <v>1.0</v>
      </c>
      <c r="E21" s="134">
        <v>1.0</v>
      </c>
      <c r="F21" s="114">
        <f t="shared" ref="F21:G21" si="82">D21</f>
        <v>1</v>
      </c>
      <c r="G21" s="114">
        <f t="shared" si="82"/>
        <v>1</v>
      </c>
      <c r="H21" s="115">
        <f>G21/F21</f>
        <v>1</v>
      </c>
      <c r="I21" s="116" t="s">
        <v>1031</v>
      </c>
      <c r="J21" s="86"/>
      <c r="K21" s="99" t="s">
        <v>116</v>
      </c>
      <c r="L21" s="117" t="s">
        <v>1105</v>
      </c>
      <c r="M21" s="142" t="s">
        <v>1037</v>
      </c>
      <c r="N21" s="112">
        <v>1.0</v>
      </c>
      <c r="O21" s="113">
        <v>1.0</v>
      </c>
      <c r="P21" s="111">
        <f t="shared" ref="P21:Q21" si="83">N20+N21</f>
        <v>2</v>
      </c>
      <c r="Q21" s="111">
        <f t="shared" si="83"/>
        <v>2</v>
      </c>
      <c r="R21" s="115">
        <f t="shared" si="7"/>
        <v>1</v>
      </c>
      <c r="S21" s="118" t="s">
        <v>1031</v>
      </c>
      <c r="T21" s="143"/>
      <c r="U21" s="14" t="s">
        <v>1088</v>
      </c>
      <c r="V21" s="95" t="s">
        <v>1053</v>
      </c>
      <c r="W21" s="12" t="s">
        <v>1054</v>
      </c>
      <c r="X21" s="101">
        <v>3.0</v>
      </c>
      <c r="Y21" s="96">
        <v>2.0</v>
      </c>
      <c r="Z21" s="56">
        <f t="shared" ref="Z21:AA21" si="84">X16+X18+X20+X21</f>
        <v>4</v>
      </c>
      <c r="AA21" s="56">
        <f t="shared" si="84"/>
        <v>9</v>
      </c>
      <c r="AB21" s="102">
        <f t="shared" si="65"/>
        <v>2.25</v>
      </c>
      <c r="AC21" s="106" t="s">
        <v>1047</v>
      </c>
      <c r="AD21" s="92"/>
      <c r="AE21" s="14" t="s">
        <v>16</v>
      </c>
      <c r="AF21" s="120" t="s">
        <v>1106</v>
      </c>
      <c r="AG21" s="121" t="s">
        <v>1029</v>
      </c>
      <c r="AH21" s="122">
        <v>1.0</v>
      </c>
      <c r="AI21" s="123">
        <v>1.0</v>
      </c>
      <c r="AJ21" s="124">
        <f t="shared" ref="AJ21:AK21" si="85">AH21</f>
        <v>1</v>
      </c>
      <c r="AK21" s="124">
        <f t="shared" si="85"/>
        <v>1</v>
      </c>
      <c r="AL21" s="125">
        <f t="shared" si="75"/>
        <v>1</v>
      </c>
      <c r="AM21" s="126" t="s">
        <v>1031</v>
      </c>
      <c r="AN21" s="86"/>
      <c r="AO21" s="14" t="s">
        <v>136</v>
      </c>
      <c r="AP21" s="100" t="s">
        <v>1107</v>
      </c>
      <c r="AQ21" s="12" t="s">
        <v>1054</v>
      </c>
      <c r="AR21" s="109">
        <v>3.0</v>
      </c>
      <c r="AS21" s="96">
        <v>4.0</v>
      </c>
      <c r="AT21" s="150">
        <f t="shared" ref="AT21:AU21" si="86">AR18+AR19+AR20+AR21</f>
        <v>8</v>
      </c>
      <c r="AU21" s="150">
        <f t="shared" si="86"/>
        <v>11</v>
      </c>
      <c r="AV21" s="102">
        <f t="shared" si="77"/>
        <v>1.375</v>
      </c>
      <c r="AW21" s="103" t="s">
        <v>1044</v>
      </c>
    </row>
    <row r="22" ht="12.75" customHeight="1">
      <c r="A22" s="152" t="s">
        <v>256</v>
      </c>
      <c r="B22" s="95" t="s">
        <v>1057</v>
      </c>
      <c r="C22" s="12" t="s">
        <v>1029</v>
      </c>
      <c r="D22" s="12">
        <v>0.0</v>
      </c>
      <c r="E22" s="148">
        <v>1.0</v>
      </c>
      <c r="F22" s="56">
        <f t="shared" ref="F22:G22" si="87">D22</f>
        <v>0</v>
      </c>
      <c r="G22" s="56">
        <f t="shared" si="87"/>
        <v>1</v>
      </c>
      <c r="H22" s="97">
        <f>G22</f>
        <v>1</v>
      </c>
      <c r="I22" s="98" t="s">
        <v>17</v>
      </c>
      <c r="J22" s="86"/>
      <c r="K22" s="99" t="s">
        <v>116</v>
      </c>
      <c r="L22" s="145" t="s">
        <v>1108</v>
      </c>
      <c r="M22" s="136" t="s">
        <v>1029</v>
      </c>
      <c r="N22" s="137">
        <v>1.0</v>
      </c>
      <c r="O22" s="138">
        <v>1.0</v>
      </c>
      <c r="P22" s="136">
        <f t="shared" ref="P22:Q22" si="88">N22</f>
        <v>1</v>
      </c>
      <c r="Q22" s="136">
        <f t="shared" si="88"/>
        <v>1</v>
      </c>
      <c r="R22" s="140">
        <f t="shared" si="7"/>
        <v>1</v>
      </c>
      <c r="S22" s="141" t="s">
        <v>1031</v>
      </c>
      <c r="T22" s="143"/>
      <c r="U22" s="14" t="s">
        <v>1088</v>
      </c>
      <c r="V22" s="110" t="s">
        <v>1109</v>
      </c>
      <c r="W22" s="142" t="s">
        <v>1100</v>
      </c>
      <c r="X22" s="112">
        <v>3.0</v>
      </c>
      <c r="Y22" s="113">
        <v>3.0</v>
      </c>
      <c r="Z22" s="114">
        <f t="shared" ref="Z22:AA22" si="89">X16+X18+X20+X21+X22</f>
        <v>7</v>
      </c>
      <c r="AA22" s="114">
        <f t="shared" si="89"/>
        <v>12</v>
      </c>
      <c r="AB22" s="115">
        <f t="shared" si="65"/>
        <v>1.714285714</v>
      </c>
      <c r="AC22" s="116" t="s">
        <v>1047</v>
      </c>
      <c r="AD22" s="92"/>
      <c r="AE22" s="14" t="s">
        <v>16</v>
      </c>
      <c r="AF22" s="110" t="s">
        <v>1110</v>
      </c>
      <c r="AG22" s="142" t="s">
        <v>1037</v>
      </c>
      <c r="AH22" s="112">
        <v>1.0</v>
      </c>
      <c r="AI22" s="113">
        <v>1.0</v>
      </c>
      <c r="AJ22" s="114">
        <f t="shared" ref="AJ22:AK22" si="90">AH21+AH22</f>
        <v>2</v>
      </c>
      <c r="AK22" s="114">
        <f t="shared" si="90"/>
        <v>2</v>
      </c>
      <c r="AL22" s="115">
        <f t="shared" si="75"/>
        <v>1</v>
      </c>
      <c r="AM22" s="116" t="s">
        <v>1031</v>
      </c>
      <c r="AN22" s="86"/>
      <c r="AO22" s="14" t="s">
        <v>136</v>
      </c>
      <c r="AP22" s="100" t="s">
        <v>1111</v>
      </c>
      <c r="AQ22" s="12" t="s">
        <v>1100</v>
      </c>
      <c r="AR22" s="109">
        <v>3.0</v>
      </c>
      <c r="AS22" s="96">
        <v>5.0</v>
      </c>
      <c r="AT22" s="150">
        <f t="shared" ref="AT22:AU22" si="91">AR18+AR19+AR20+AR21+AR22</f>
        <v>11</v>
      </c>
      <c r="AU22" s="150">
        <f t="shared" si="91"/>
        <v>16</v>
      </c>
      <c r="AV22" s="102">
        <f t="shared" si="77"/>
        <v>1.454545455</v>
      </c>
      <c r="AW22" s="103" t="s">
        <v>1044</v>
      </c>
    </row>
    <row r="23" ht="12.75" customHeight="1">
      <c r="A23" s="152" t="s">
        <v>256</v>
      </c>
      <c r="B23" s="95" t="s">
        <v>1060</v>
      </c>
      <c r="C23" s="12" t="s">
        <v>1037</v>
      </c>
      <c r="D23" s="109">
        <v>1.0</v>
      </c>
      <c r="E23" s="105">
        <v>2.0</v>
      </c>
      <c r="F23" s="56">
        <f t="shared" ref="F23:G23" si="92">D22+D23</f>
        <v>1</v>
      </c>
      <c r="G23" s="56">
        <f t="shared" si="92"/>
        <v>3</v>
      </c>
      <c r="H23" s="102">
        <f>G23/F23</f>
        <v>3</v>
      </c>
      <c r="I23" s="106" t="s">
        <v>1031</v>
      </c>
      <c r="J23" s="86"/>
      <c r="K23" s="99" t="s">
        <v>116</v>
      </c>
      <c r="L23" s="145" t="s">
        <v>1112</v>
      </c>
      <c r="M23" s="136" t="s">
        <v>1029</v>
      </c>
      <c r="N23" s="137">
        <v>1.0</v>
      </c>
      <c r="O23" s="138">
        <v>1.0</v>
      </c>
      <c r="P23" s="136">
        <f t="shared" ref="P23:Q23" si="93">N23</f>
        <v>1</v>
      </c>
      <c r="Q23" s="136">
        <f t="shared" si="93"/>
        <v>1</v>
      </c>
      <c r="R23" s="140">
        <f t="shared" si="7"/>
        <v>1</v>
      </c>
      <c r="S23" s="146" t="s">
        <v>1031</v>
      </c>
      <c r="T23" s="143"/>
      <c r="U23" s="14" t="s">
        <v>1088</v>
      </c>
      <c r="V23" s="120" t="s">
        <v>1113</v>
      </c>
      <c r="W23" s="121" t="s">
        <v>1029</v>
      </c>
      <c r="X23" s="122">
        <v>1.0</v>
      </c>
      <c r="Y23" s="123">
        <v>1.0</v>
      </c>
      <c r="Z23" s="124">
        <f t="shared" ref="Z23:AA23" si="94">X23</f>
        <v>1</v>
      </c>
      <c r="AA23" s="124">
        <f t="shared" si="94"/>
        <v>1</v>
      </c>
      <c r="AB23" s="125">
        <f t="shared" si="65"/>
        <v>1</v>
      </c>
      <c r="AC23" s="126" t="s">
        <v>1031</v>
      </c>
      <c r="AD23" s="92"/>
      <c r="AE23" s="14" t="s">
        <v>16</v>
      </c>
      <c r="AF23" s="120" t="s">
        <v>1114</v>
      </c>
      <c r="AG23" s="121" t="s">
        <v>1029</v>
      </c>
      <c r="AH23" s="122">
        <v>1.0</v>
      </c>
      <c r="AI23" s="123">
        <v>1.0</v>
      </c>
      <c r="AJ23" s="124">
        <f t="shared" ref="AJ23:AK23" si="95">AH23</f>
        <v>1</v>
      </c>
      <c r="AK23" s="124">
        <f t="shared" si="95"/>
        <v>1</v>
      </c>
      <c r="AL23" s="125">
        <f t="shared" si="75"/>
        <v>1</v>
      </c>
      <c r="AM23" s="126" t="s">
        <v>1031</v>
      </c>
      <c r="AN23" s="86"/>
      <c r="AO23" s="13" t="s">
        <v>1056</v>
      </c>
      <c r="AP23" s="95"/>
      <c r="AR23" s="119">
        <f>SUM(AR18:AR22)</f>
        <v>11</v>
      </c>
      <c r="AT23" s="5"/>
    </row>
    <row r="24" ht="12.75" customHeight="1">
      <c r="A24" s="13" t="s">
        <v>1056</v>
      </c>
      <c r="D24" s="119">
        <f>SUM(D21:D23)</f>
        <v>2</v>
      </c>
      <c r="E24" s="14"/>
      <c r="F24" s="14"/>
      <c r="G24" s="14"/>
      <c r="H24" s="12"/>
      <c r="I24" s="18"/>
      <c r="J24" s="86"/>
      <c r="K24" s="99" t="s">
        <v>116</v>
      </c>
      <c r="L24" s="145" t="s">
        <v>1115</v>
      </c>
      <c r="M24" s="136" t="s">
        <v>1029</v>
      </c>
      <c r="N24" s="137">
        <v>1.0</v>
      </c>
      <c r="O24" s="138">
        <v>1.0</v>
      </c>
      <c r="P24" s="136">
        <f t="shared" ref="P24:Q24" si="96">N24</f>
        <v>1</v>
      </c>
      <c r="Q24" s="136">
        <f t="shared" si="96"/>
        <v>1</v>
      </c>
      <c r="R24" s="140">
        <f t="shared" si="7"/>
        <v>1</v>
      </c>
      <c r="S24" s="146" t="s">
        <v>1031</v>
      </c>
      <c r="T24" s="92"/>
      <c r="U24" s="14" t="s">
        <v>1088</v>
      </c>
      <c r="V24" s="95" t="s">
        <v>1116</v>
      </c>
      <c r="W24" s="12" t="s">
        <v>1037</v>
      </c>
      <c r="X24" s="101">
        <v>1.0</v>
      </c>
      <c r="Y24" s="96">
        <v>1.0</v>
      </c>
      <c r="Z24" s="12">
        <f t="shared" ref="Z24:AA24" si="97">X23+X24</f>
        <v>2</v>
      </c>
      <c r="AA24" s="12">
        <f t="shared" si="97"/>
        <v>2</v>
      </c>
      <c r="AB24" s="102">
        <f t="shared" si="65"/>
        <v>1</v>
      </c>
      <c r="AC24" s="106" t="s">
        <v>1031</v>
      </c>
      <c r="AD24" s="92"/>
      <c r="AE24" s="14" t="s">
        <v>16</v>
      </c>
      <c r="AF24" s="95" t="s">
        <v>1117</v>
      </c>
      <c r="AG24" s="108" t="s">
        <v>1037</v>
      </c>
      <c r="AH24" s="101">
        <v>1.0</v>
      </c>
      <c r="AI24" s="96">
        <v>1.0</v>
      </c>
      <c r="AJ24" s="12">
        <f t="shared" ref="AJ24:AK24" si="98">AH23+AH24</f>
        <v>2</v>
      </c>
      <c r="AK24" s="12">
        <f t="shared" si="98"/>
        <v>2</v>
      </c>
      <c r="AL24" s="102">
        <f t="shared" si="75"/>
        <v>1</v>
      </c>
      <c r="AM24" s="106" t="s">
        <v>1031</v>
      </c>
      <c r="AN24" s="86"/>
      <c r="AO24" s="86"/>
      <c r="AP24" s="86"/>
      <c r="AQ24" s="86"/>
      <c r="AR24" s="86"/>
      <c r="AS24" s="86"/>
      <c r="AT24" s="86"/>
      <c r="AU24" s="86"/>
      <c r="AV24" s="86"/>
      <c r="AW24" s="86"/>
    </row>
    <row r="25" ht="12.75" customHeight="1">
      <c r="A25" s="86"/>
      <c r="B25" s="86"/>
      <c r="C25" s="86"/>
      <c r="D25" s="86"/>
      <c r="E25" s="86"/>
      <c r="F25" s="86"/>
      <c r="G25" s="86"/>
      <c r="H25" s="130"/>
      <c r="I25" s="131"/>
      <c r="J25" s="86"/>
      <c r="K25" s="99" t="s">
        <v>116</v>
      </c>
      <c r="L25" s="127" t="s">
        <v>1118</v>
      </c>
      <c r="M25" s="121" t="s">
        <v>1029</v>
      </c>
      <c r="N25" s="122">
        <v>1.0</v>
      </c>
      <c r="O25" s="123">
        <v>1.0</v>
      </c>
      <c r="P25" s="121">
        <f t="shared" ref="P25:Q25" si="99">N25</f>
        <v>1</v>
      </c>
      <c r="Q25" s="121">
        <f t="shared" si="99"/>
        <v>1</v>
      </c>
      <c r="R25" s="125">
        <f t="shared" si="7"/>
        <v>1</v>
      </c>
      <c r="S25" s="128" t="s">
        <v>1031</v>
      </c>
      <c r="T25" s="104"/>
      <c r="U25" s="14" t="s">
        <v>1088</v>
      </c>
      <c r="V25" s="95" t="s">
        <v>1119</v>
      </c>
      <c r="W25" s="12" t="s">
        <v>1037</v>
      </c>
      <c r="X25" s="101">
        <v>0.0</v>
      </c>
      <c r="Y25" s="96">
        <v>2.0</v>
      </c>
      <c r="Z25" s="12">
        <f t="shared" ref="Z25:AA25" si="100">X23+X25</f>
        <v>1</v>
      </c>
      <c r="AA25" s="12">
        <f t="shared" si="100"/>
        <v>3</v>
      </c>
      <c r="AB25" s="102">
        <f t="shared" si="65"/>
        <v>3</v>
      </c>
      <c r="AC25" s="98" t="s">
        <v>17</v>
      </c>
      <c r="AD25" s="92"/>
      <c r="AE25" s="14" t="s">
        <v>16</v>
      </c>
      <c r="AF25" s="110" t="s">
        <v>1120</v>
      </c>
      <c r="AG25" s="111" t="s">
        <v>1037</v>
      </c>
      <c r="AH25" s="112">
        <v>1.0</v>
      </c>
      <c r="AI25" s="113">
        <v>2.0</v>
      </c>
      <c r="AJ25" s="114">
        <f t="shared" ref="AJ25:AK25" si="101">AH23+AH25</f>
        <v>2</v>
      </c>
      <c r="AK25" s="114">
        <f t="shared" si="101"/>
        <v>3</v>
      </c>
      <c r="AL25" s="115">
        <f t="shared" si="75"/>
        <v>1.5</v>
      </c>
      <c r="AM25" s="116" t="s">
        <v>1031</v>
      </c>
      <c r="AN25" s="86"/>
      <c r="AO25" s="6" t="s">
        <v>1121</v>
      </c>
      <c r="AP25" s="5" t="s">
        <v>1013</v>
      </c>
      <c r="AQ25" s="5" t="s">
        <v>1014</v>
      </c>
      <c r="AR25" s="93" t="s">
        <v>1023</v>
      </c>
      <c r="AS25" s="93" t="s">
        <v>1016</v>
      </c>
      <c r="AT25" s="153" t="s">
        <v>1024</v>
      </c>
      <c r="AU25" s="93" t="s">
        <v>1018</v>
      </c>
      <c r="AV25" s="5" t="s">
        <v>1025</v>
      </c>
      <c r="AW25" s="5" t="s">
        <v>1122</v>
      </c>
    </row>
    <row r="26" ht="12.75" customHeight="1">
      <c r="A26" s="5" t="s">
        <v>22</v>
      </c>
      <c r="B26" s="5" t="s">
        <v>1013</v>
      </c>
      <c r="C26" s="5" t="s">
        <v>1014</v>
      </c>
      <c r="D26" s="93" t="s">
        <v>1015</v>
      </c>
      <c r="E26" s="94" t="s">
        <v>1016</v>
      </c>
      <c r="F26" s="93" t="s">
        <v>1017</v>
      </c>
      <c r="G26" s="93" t="s">
        <v>1018</v>
      </c>
      <c r="H26" s="5" t="s">
        <v>1025</v>
      </c>
      <c r="I26" s="5" t="s">
        <v>1020</v>
      </c>
      <c r="J26" s="86"/>
      <c r="K26" s="99" t="s">
        <v>116</v>
      </c>
      <c r="L26" s="117" t="s">
        <v>1123</v>
      </c>
      <c r="M26" s="142" t="s">
        <v>1037</v>
      </c>
      <c r="N26" s="112">
        <v>2.0</v>
      </c>
      <c r="O26" s="113">
        <v>2.0</v>
      </c>
      <c r="P26" s="111">
        <f t="shared" ref="P26:Q26" si="102">N25+N26</f>
        <v>3</v>
      </c>
      <c r="Q26" s="111">
        <f t="shared" si="102"/>
        <v>3</v>
      </c>
      <c r="R26" s="115">
        <f t="shared" si="7"/>
        <v>1</v>
      </c>
      <c r="S26" s="118" t="s">
        <v>1038</v>
      </c>
      <c r="T26" s="104"/>
      <c r="U26" s="14" t="s">
        <v>1088</v>
      </c>
      <c r="V26" s="95" t="s">
        <v>1061</v>
      </c>
      <c r="W26" s="12" t="s">
        <v>1049</v>
      </c>
      <c r="X26" s="101">
        <v>0.0</v>
      </c>
      <c r="Y26" s="96">
        <v>1.0</v>
      </c>
      <c r="Z26" s="12">
        <f t="shared" ref="Z26:AA26" si="103">X23+X25+X26</f>
        <v>1</v>
      </c>
      <c r="AA26" s="12">
        <f t="shared" si="103"/>
        <v>4</v>
      </c>
      <c r="AB26" s="102">
        <f t="shared" si="65"/>
        <v>4</v>
      </c>
      <c r="AC26" s="98" t="s">
        <v>17</v>
      </c>
      <c r="AD26" s="92"/>
      <c r="AE26" s="14" t="s">
        <v>16</v>
      </c>
      <c r="AF26" s="120" t="s">
        <v>1124</v>
      </c>
      <c r="AG26" s="121" t="s">
        <v>1029</v>
      </c>
      <c r="AH26" s="124">
        <v>0.0</v>
      </c>
      <c r="AI26" s="123">
        <v>1.0</v>
      </c>
      <c r="AJ26" s="124">
        <f t="shared" ref="AJ26:AK26" si="104">AH26</f>
        <v>0</v>
      </c>
      <c r="AK26" s="124">
        <f t="shared" si="104"/>
        <v>1</v>
      </c>
      <c r="AL26" s="125">
        <f>AK26</f>
        <v>1</v>
      </c>
      <c r="AM26" s="154" t="s">
        <v>17</v>
      </c>
      <c r="AN26" s="86"/>
      <c r="AO26" s="152" t="s">
        <v>1125</v>
      </c>
      <c r="AP26" s="152">
        <v>1.0</v>
      </c>
      <c r="AQ26" s="12" t="s">
        <v>1029</v>
      </c>
      <c r="AR26" s="56">
        <v>0.0</v>
      </c>
      <c r="AS26" s="56">
        <v>2.0</v>
      </c>
      <c r="AT26" s="155">
        <f t="shared" ref="AT26:AU26" si="105">AR26</f>
        <v>0</v>
      </c>
      <c r="AU26" s="56">
        <f t="shared" si="105"/>
        <v>2</v>
      </c>
      <c r="AV26" s="125">
        <f>AU26</f>
        <v>2</v>
      </c>
    </row>
    <row r="27" ht="12.75" customHeight="1">
      <c r="A27" s="14" t="s">
        <v>99</v>
      </c>
      <c r="B27" s="95" t="s">
        <v>1032</v>
      </c>
      <c r="C27" s="12" t="s">
        <v>1029</v>
      </c>
      <c r="D27" s="56">
        <v>0.0</v>
      </c>
      <c r="E27" s="96">
        <v>1.0</v>
      </c>
      <c r="F27" s="56">
        <f t="shared" ref="F27:G27" si="106">D27</f>
        <v>0</v>
      </c>
      <c r="G27" s="56">
        <f t="shared" si="106"/>
        <v>1</v>
      </c>
      <c r="H27" s="97">
        <f>G27</f>
        <v>1</v>
      </c>
      <c r="I27" s="98" t="s">
        <v>17</v>
      </c>
      <c r="J27" s="86"/>
      <c r="K27" s="99" t="s">
        <v>116</v>
      </c>
      <c r="L27" s="145" t="s">
        <v>1126</v>
      </c>
      <c r="M27" s="136" t="s">
        <v>1029</v>
      </c>
      <c r="N27" s="137">
        <v>1.0</v>
      </c>
      <c r="O27" s="138">
        <v>1.0</v>
      </c>
      <c r="P27" s="136">
        <f t="shared" ref="P27:Q27" si="107">N27</f>
        <v>1</v>
      </c>
      <c r="Q27" s="136">
        <f t="shared" si="107"/>
        <v>1</v>
      </c>
      <c r="R27" s="140">
        <f t="shared" si="7"/>
        <v>1</v>
      </c>
      <c r="S27" s="146" t="s">
        <v>1031</v>
      </c>
      <c r="T27" s="104"/>
      <c r="U27" s="14" t="s">
        <v>1088</v>
      </c>
      <c r="V27" s="95" t="s">
        <v>1127</v>
      </c>
      <c r="W27" s="12" t="s">
        <v>1054</v>
      </c>
      <c r="X27" s="101">
        <v>0.0</v>
      </c>
      <c r="Y27" s="96">
        <v>2.0</v>
      </c>
      <c r="Z27" s="56">
        <f t="shared" ref="Z27:AA27" si="108">X23+X25+X26+X27</f>
        <v>1</v>
      </c>
      <c r="AA27" s="56">
        <f t="shared" si="108"/>
        <v>6</v>
      </c>
      <c r="AB27" s="102">
        <f t="shared" si="65"/>
        <v>6</v>
      </c>
      <c r="AC27" s="98" t="s">
        <v>17</v>
      </c>
      <c r="AD27" s="92"/>
      <c r="AE27" s="14" t="s">
        <v>16</v>
      </c>
      <c r="AF27" s="95" t="s">
        <v>1128</v>
      </c>
      <c r="AG27" s="108" t="s">
        <v>1037</v>
      </c>
      <c r="AH27" s="101">
        <v>1.0</v>
      </c>
      <c r="AI27" s="96">
        <v>3.0</v>
      </c>
      <c r="AJ27" s="56">
        <f t="shared" ref="AJ27:AK27" si="109">AH26+AH27</f>
        <v>1</v>
      </c>
      <c r="AK27" s="56">
        <f t="shared" si="109"/>
        <v>4</v>
      </c>
      <c r="AL27" s="102">
        <f t="shared" ref="AL27:AL37" si="115">AK27/AJ27</f>
        <v>4</v>
      </c>
      <c r="AM27" s="106" t="s">
        <v>1031</v>
      </c>
      <c r="AN27" s="86"/>
      <c r="AO27" s="152" t="s">
        <v>1125</v>
      </c>
      <c r="AP27" s="152">
        <v>2.0</v>
      </c>
      <c r="AQ27" s="108" t="s">
        <v>1037</v>
      </c>
      <c r="AR27" s="56">
        <v>1.0</v>
      </c>
      <c r="AS27" s="56">
        <v>2.0</v>
      </c>
      <c r="AT27" s="155">
        <f t="shared" ref="AT27:AU27" si="110">AR26+AR27</f>
        <v>1</v>
      </c>
      <c r="AU27" s="56">
        <f t="shared" si="110"/>
        <v>4</v>
      </c>
      <c r="AV27" s="102">
        <f t="shared" ref="AV27:AV30" si="117">AU27/AT27</f>
        <v>4</v>
      </c>
      <c r="AW27" s="103" t="s">
        <v>1084</v>
      </c>
    </row>
    <row r="28" ht="12.75" customHeight="1">
      <c r="A28" s="14" t="s">
        <v>99</v>
      </c>
      <c r="B28" s="95" t="s">
        <v>1046</v>
      </c>
      <c r="C28" s="12" t="s">
        <v>1037</v>
      </c>
      <c r="D28" s="101">
        <v>1.0</v>
      </c>
      <c r="E28" s="96">
        <v>1.0</v>
      </c>
      <c r="F28" s="56">
        <f t="shared" ref="F28:G28" si="111">D27+D28</f>
        <v>1</v>
      </c>
      <c r="G28" s="56">
        <f t="shared" si="111"/>
        <v>2</v>
      </c>
      <c r="H28" s="102">
        <f t="shared" ref="H28:H30" si="119">G28/F28</f>
        <v>2</v>
      </c>
      <c r="I28" s="103" t="s">
        <v>1041</v>
      </c>
      <c r="J28" s="86"/>
      <c r="K28" s="99" t="s">
        <v>116</v>
      </c>
      <c r="L28" s="100" t="s">
        <v>1129</v>
      </c>
      <c r="M28" s="12" t="s">
        <v>1029</v>
      </c>
      <c r="N28" s="56">
        <v>0.0</v>
      </c>
      <c r="O28" s="96">
        <v>1.0</v>
      </c>
      <c r="P28" s="12">
        <f t="shared" ref="P28:Q28" si="112">N28</f>
        <v>0</v>
      </c>
      <c r="Q28" s="12">
        <f t="shared" si="112"/>
        <v>1</v>
      </c>
      <c r="R28" s="97">
        <f>Q28</f>
        <v>1</v>
      </c>
      <c r="S28" s="98" t="s">
        <v>17</v>
      </c>
      <c r="T28" s="104"/>
      <c r="U28" s="14" t="s">
        <v>1088</v>
      </c>
      <c r="V28" s="95" t="s">
        <v>1130</v>
      </c>
      <c r="W28" s="108" t="s">
        <v>1100</v>
      </c>
      <c r="X28" s="101">
        <v>2.0</v>
      </c>
      <c r="Y28" s="96">
        <v>1.0</v>
      </c>
      <c r="Z28" s="56">
        <f t="shared" ref="Z28:AA28" si="113">X23+X25+X26+X27+X28</f>
        <v>3</v>
      </c>
      <c r="AA28" s="56">
        <f t="shared" si="113"/>
        <v>7</v>
      </c>
      <c r="AB28" s="102">
        <f t="shared" si="65"/>
        <v>2.333333333</v>
      </c>
      <c r="AC28" s="106" t="s">
        <v>1038</v>
      </c>
      <c r="AD28" s="92"/>
      <c r="AE28" s="14" t="s">
        <v>16</v>
      </c>
      <c r="AF28" s="95" t="s">
        <v>1131</v>
      </c>
      <c r="AG28" s="12" t="s">
        <v>1049</v>
      </c>
      <c r="AH28" s="101">
        <v>2.0</v>
      </c>
      <c r="AI28" s="96">
        <v>1.0</v>
      </c>
      <c r="AJ28" s="56">
        <f t="shared" ref="AJ28:AK28" si="114">AH26+AH27+AH28</f>
        <v>3</v>
      </c>
      <c r="AK28" s="56">
        <f t="shared" si="114"/>
        <v>5</v>
      </c>
      <c r="AL28" s="102">
        <f t="shared" si="115"/>
        <v>1.666666667</v>
      </c>
      <c r="AM28" s="106" t="s">
        <v>1038</v>
      </c>
      <c r="AN28" s="86"/>
      <c r="AO28" s="152" t="s">
        <v>1125</v>
      </c>
      <c r="AP28" s="152">
        <v>3.0</v>
      </c>
      <c r="AQ28" s="12" t="s">
        <v>1049</v>
      </c>
      <c r="AR28" s="56">
        <v>0.0</v>
      </c>
      <c r="AS28" s="56">
        <v>3.0</v>
      </c>
      <c r="AT28" s="155">
        <f t="shared" ref="AT28:AU28" si="116">AR26+AR27+AR28</f>
        <v>1</v>
      </c>
      <c r="AU28" s="56">
        <f t="shared" si="116"/>
        <v>7</v>
      </c>
      <c r="AV28" s="102">
        <f t="shared" si="117"/>
        <v>7</v>
      </c>
    </row>
    <row r="29" ht="12.75" customHeight="1">
      <c r="A29" s="14" t="s">
        <v>99</v>
      </c>
      <c r="B29" s="110" t="s">
        <v>1132</v>
      </c>
      <c r="C29" s="111" t="s">
        <v>1049</v>
      </c>
      <c r="D29" s="112">
        <v>2.0</v>
      </c>
      <c r="E29" s="113">
        <v>4.0</v>
      </c>
      <c r="F29" s="114">
        <f t="shared" ref="F29:G29" si="118">D27+D28+D29</f>
        <v>3</v>
      </c>
      <c r="G29" s="114">
        <f t="shared" si="118"/>
        <v>6</v>
      </c>
      <c r="H29" s="115">
        <f t="shared" si="119"/>
        <v>2</v>
      </c>
      <c r="I29" s="156" t="s">
        <v>1133</v>
      </c>
      <c r="J29" s="86"/>
      <c r="K29" s="99" t="s">
        <v>116</v>
      </c>
      <c r="L29" s="117" t="s">
        <v>1134</v>
      </c>
      <c r="M29" s="142" t="s">
        <v>1037</v>
      </c>
      <c r="N29" s="112">
        <v>1.0</v>
      </c>
      <c r="O29" s="113">
        <v>2.0</v>
      </c>
      <c r="P29" s="111">
        <f t="shared" ref="P29:Q29" si="120">N28+N29</f>
        <v>1</v>
      </c>
      <c r="Q29" s="111">
        <f t="shared" si="120"/>
        <v>3</v>
      </c>
      <c r="R29" s="115">
        <f t="shared" ref="R29:R42" si="126">Q29/P29</f>
        <v>3</v>
      </c>
      <c r="S29" s="118" t="s">
        <v>1031</v>
      </c>
      <c r="T29" s="104"/>
      <c r="U29" s="14" t="s">
        <v>1088</v>
      </c>
      <c r="V29" s="95" t="s">
        <v>1135</v>
      </c>
      <c r="W29" s="108" t="s">
        <v>1100</v>
      </c>
      <c r="X29" s="101">
        <v>0.0</v>
      </c>
      <c r="Y29" s="96">
        <v>1.0</v>
      </c>
      <c r="Z29" s="56">
        <f t="shared" ref="Z29:AA29" si="121">X23+X25+X26+X27+X29</f>
        <v>1</v>
      </c>
      <c r="AA29" s="56">
        <f t="shared" si="121"/>
        <v>7</v>
      </c>
      <c r="AB29" s="102">
        <f t="shared" si="65"/>
        <v>7</v>
      </c>
      <c r="AC29" s="98" t="s">
        <v>17</v>
      </c>
      <c r="AD29" s="92"/>
      <c r="AE29" s="14" t="s">
        <v>16</v>
      </c>
      <c r="AF29" s="95" t="s">
        <v>1136</v>
      </c>
      <c r="AG29" s="12" t="s">
        <v>1049</v>
      </c>
      <c r="AH29" s="101">
        <v>1.0</v>
      </c>
      <c r="AI29" s="96">
        <v>1.0</v>
      </c>
      <c r="AJ29" s="56">
        <f t="shared" ref="AJ29:AK29" si="122">AH26+AH27+AH29</f>
        <v>2</v>
      </c>
      <c r="AK29" s="56">
        <f t="shared" si="122"/>
        <v>5</v>
      </c>
      <c r="AL29" s="102">
        <f t="shared" si="115"/>
        <v>2.5</v>
      </c>
      <c r="AM29" s="106" t="s">
        <v>1031</v>
      </c>
      <c r="AN29" s="86"/>
      <c r="AO29" s="152" t="s">
        <v>1125</v>
      </c>
      <c r="AP29" s="152">
        <v>4.0</v>
      </c>
      <c r="AQ29" s="12" t="s">
        <v>1054</v>
      </c>
      <c r="AR29" s="56">
        <v>2.0</v>
      </c>
      <c r="AS29" s="56">
        <v>4.0</v>
      </c>
      <c r="AT29" s="155">
        <f t="shared" ref="AT29:AU29" si="123">AR26+AR27+AR28+AR29</f>
        <v>3</v>
      </c>
      <c r="AU29" s="56">
        <f t="shared" si="123"/>
        <v>11</v>
      </c>
      <c r="AV29" s="102">
        <f t="shared" si="117"/>
        <v>3.666666667</v>
      </c>
      <c r="AW29" s="103" t="s">
        <v>1035</v>
      </c>
    </row>
    <row r="30" ht="12.75" customHeight="1">
      <c r="A30" s="14" t="s">
        <v>99</v>
      </c>
      <c r="B30" s="110" t="s">
        <v>1078</v>
      </c>
      <c r="C30" s="111" t="s">
        <v>1029</v>
      </c>
      <c r="D30" s="112">
        <v>1.0</v>
      </c>
      <c r="E30" s="113">
        <v>1.0</v>
      </c>
      <c r="F30" s="114">
        <f t="shared" ref="F30:G30" si="124">D30</f>
        <v>1</v>
      </c>
      <c r="G30" s="114">
        <f t="shared" si="124"/>
        <v>1</v>
      </c>
      <c r="H30" s="140">
        <f t="shared" si="119"/>
        <v>1</v>
      </c>
      <c r="I30" s="157" t="s">
        <v>1041</v>
      </c>
      <c r="J30" s="86"/>
      <c r="K30" s="99" t="s">
        <v>116</v>
      </c>
      <c r="L30" s="145" t="s">
        <v>1137</v>
      </c>
      <c r="M30" s="136" t="s">
        <v>1029</v>
      </c>
      <c r="N30" s="137">
        <v>1.0</v>
      </c>
      <c r="O30" s="138">
        <v>1.0</v>
      </c>
      <c r="P30" s="136">
        <f t="shared" ref="P30:Q30" si="125">N30</f>
        <v>1</v>
      </c>
      <c r="Q30" s="136">
        <f t="shared" si="125"/>
        <v>1</v>
      </c>
      <c r="R30" s="140">
        <f t="shared" si="126"/>
        <v>1</v>
      </c>
      <c r="S30" s="146" t="s">
        <v>1031</v>
      </c>
      <c r="T30" s="104"/>
      <c r="U30" s="14" t="s">
        <v>1088</v>
      </c>
      <c r="V30" s="110" t="s">
        <v>1138</v>
      </c>
      <c r="W30" s="142" t="s">
        <v>1103</v>
      </c>
      <c r="X30" s="112">
        <v>3.0</v>
      </c>
      <c r="Y30" s="113">
        <v>5.0</v>
      </c>
      <c r="Z30" s="114">
        <f t="shared" ref="Z30:AA30" si="127">X23+X25+X26+X27+X29+X30</f>
        <v>4</v>
      </c>
      <c r="AA30" s="114">
        <f t="shared" si="127"/>
        <v>12</v>
      </c>
      <c r="AB30" s="115">
        <f t="shared" si="65"/>
        <v>3</v>
      </c>
      <c r="AC30" s="118" t="s">
        <v>1047</v>
      </c>
      <c r="AD30" s="92"/>
      <c r="AE30" s="14" t="s">
        <v>16</v>
      </c>
      <c r="AF30" s="110" t="s">
        <v>1139</v>
      </c>
      <c r="AG30" s="142" t="s">
        <v>1054</v>
      </c>
      <c r="AH30" s="112">
        <v>2.0</v>
      </c>
      <c r="AI30" s="113">
        <v>1.0</v>
      </c>
      <c r="AJ30" s="114">
        <f t="shared" ref="AJ30:AK30" si="128">AH26+AH27+AH29+AH30</f>
        <v>4</v>
      </c>
      <c r="AK30" s="114">
        <f t="shared" si="128"/>
        <v>6</v>
      </c>
      <c r="AL30" s="115">
        <f t="shared" si="115"/>
        <v>1.5</v>
      </c>
      <c r="AM30" s="116" t="s">
        <v>1038</v>
      </c>
      <c r="AN30" s="86"/>
      <c r="AO30" s="152" t="s">
        <v>1125</v>
      </c>
      <c r="AP30" s="152">
        <v>5.0</v>
      </c>
      <c r="AQ30" s="12" t="s">
        <v>1100</v>
      </c>
      <c r="AR30" s="56">
        <v>3.0</v>
      </c>
      <c r="AS30" s="56">
        <v>5.0</v>
      </c>
      <c r="AT30" s="155">
        <f t="shared" ref="AT30:AU30" si="129">AR26+AR27+AR28+AR29+AR30</f>
        <v>6</v>
      </c>
      <c r="AU30" s="56">
        <f t="shared" si="129"/>
        <v>16</v>
      </c>
      <c r="AV30" s="102">
        <f t="shared" si="117"/>
        <v>2.666666667</v>
      </c>
      <c r="AW30" s="103" t="s">
        <v>1044</v>
      </c>
    </row>
    <row r="31" ht="12.75" customHeight="1">
      <c r="A31" s="14" t="s">
        <v>99</v>
      </c>
      <c r="B31" s="120" t="s">
        <v>1069</v>
      </c>
      <c r="C31" s="121" t="s">
        <v>1029</v>
      </c>
      <c r="D31" s="124">
        <v>0.0</v>
      </c>
      <c r="E31" s="123">
        <v>1.0</v>
      </c>
      <c r="F31" s="124">
        <f t="shared" ref="F31:G31" si="130">D31</f>
        <v>0</v>
      </c>
      <c r="G31" s="124">
        <f t="shared" si="130"/>
        <v>1</v>
      </c>
      <c r="H31" s="158">
        <f t="shared" ref="H31:H32" si="135">G31</f>
        <v>1</v>
      </c>
      <c r="I31" s="129" t="s">
        <v>17</v>
      </c>
      <c r="J31" s="86"/>
      <c r="K31" s="99" t="s">
        <v>116</v>
      </c>
      <c r="L31" s="127" t="s">
        <v>1140</v>
      </c>
      <c r="M31" s="121" t="s">
        <v>1029</v>
      </c>
      <c r="N31" s="122">
        <v>1.0</v>
      </c>
      <c r="O31" s="123">
        <v>1.0</v>
      </c>
      <c r="P31" s="121">
        <f t="shared" ref="P31:Q31" si="131">N31</f>
        <v>1</v>
      </c>
      <c r="Q31" s="121">
        <f t="shared" si="131"/>
        <v>1</v>
      </c>
      <c r="R31" s="125">
        <f t="shared" si="126"/>
        <v>1</v>
      </c>
      <c r="S31" s="128" t="s">
        <v>1031</v>
      </c>
      <c r="T31" s="104"/>
      <c r="U31" s="14" t="s">
        <v>1088</v>
      </c>
      <c r="V31" s="95" t="s">
        <v>1141</v>
      </c>
      <c r="W31" s="12" t="s">
        <v>1029</v>
      </c>
      <c r="X31" s="101">
        <v>0.0</v>
      </c>
      <c r="Y31" s="96">
        <v>1.0</v>
      </c>
      <c r="Z31" s="56">
        <f t="shared" ref="Z31:AA31" si="132">X31</f>
        <v>0</v>
      </c>
      <c r="AA31" s="56">
        <f t="shared" si="132"/>
        <v>1</v>
      </c>
      <c r="AB31" s="102">
        <f>AA31</f>
        <v>1</v>
      </c>
      <c r="AC31" s="98" t="s">
        <v>17</v>
      </c>
      <c r="AD31" s="92"/>
      <c r="AE31" s="14" t="s">
        <v>16</v>
      </c>
      <c r="AF31" s="135" t="s">
        <v>1142</v>
      </c>
      <c r="AG31" s="136" t="s">
        <v>1029</v>
      </c>
      <c r="AH31" s="137">
        <v>1.0</v>
      </c>
      <c r="AI31" s="138">
        <v>1.0</v>
      </c>
      <c r="AJ31" s="139">
        <f t="shared" ref="AJ31:AK31" si="133">AH31</f>
        <v>1</v>
      </c>
      <c r="AK31" s="139">
        <f t="shared" si="133"/>
        <v>1</v>
      </c>
      <c r="AL31" s="140">
        <f t="shared" si="115"/>
        <v>1</v>
      </c>
      <c r="AM31" s="141" t="s">
        <v>1031</v>
      </c>
      <c r="AN31" s="86"/>
      <c r="AO31" s="159" t="s">
        <v>1056</v>
      </c>
      <c r="AR31" s="160">
        <f>SUM(AR26:AR30)</f>
        <v>6</v>
      </c>
      <c r="AT31" s="56"/>
      <c r="AU31" s="56"/>
      <c r="AV31" s="161"/>
    </row>
    <row r="32" ht="12.75" customHeight="1">
      <c r="A32" s="14" t="s">
        <v>99</v>
      </c>
      <c r="B32" s="95" t="s">
        <v>1143</v>
      </c>
      <c r="C32" s="12" t="s">
        <v>1037</v>
      </c>
      <c r="D32" s="56">
        <v>0.0</v>
      </c>
      <c r="E32" s="96">
        <v>2.0</v>
      </c>
      <c r="F32" s="56">
        <f t="shared" ref="F32:G32" si="134">D31+D32</f>
        <v>0</v>
      </c>
      <c r="G32" s="56">
        <f t="shared" si="134"/>
        <v>3</v>
      </c>
      <c r="H32" s="97">
        <f t="shared" si="135"/>
        <v>3</v>
      </c>
      <c r="I32" s="98" t="s">
        <v>17</v>
      </c>
      <c r="J32" s="86"/>
      <c r="K32" s="99" t="s">
        <v>116</v>
      </c>
      <c r="L32" s="100" t="s">
        <v>1144</v>
      </c>
      <c r="M32" s="108" t="s">
        <v>1037</v>
      </c>
      <c r="N32" s="56">
        <v>0.0</v>
      </c>
      <c r="O32" s="96">
        <v>1.0</v>
      </c>
      <c r="P32" s="12">
        <f t="shared" ref="P32:Q32" si="136">N31+N32</f>
        <v>1</v>
      </c>
      <c r="Q32" s="12">
        <f t="shared" si="136"/>
        <v>2</v>
      </c>
      <c r="R32" s="97">
        <f t="shared" si="126"/>
        <v>2</v>
      </c>
      <c r="S32" s="98" t="s">
        <v>17</v>
      </c>
      <c r="T32" s="104"/>
      <c r="U32" s="14" t="s">
        <v>1088</v>
      </c>
      <c r="V32" s="95" t="s">
        <v>1145</v>
      </c>
      <c r="W32" s="12" t="s">
        <v>1037</v>
      </c>
      <c r="X32" s="101">
        <v>1.0</v>
      </c>
      <c r="Y32" s="96">
        <v>2.0</v>
      </c>
      <c r="Z32" s="12">
        <f t="shared" ref="Z32:AA32" si="137">X31+X32</f>
        <v>1</v>
      </c>
      <c r="AA32" s="12">
        <f t="shared" si="137"/>
        <v>3</v>
      </c>
      <c r="AB32" s="102">
        <f t="shared" ref="AB32:AB33" si="142">AA32/Z32</f>
        <v>3</v>
      </c>
      <c r="AC32" s="106" t="s">
        <v>1031</v>
      </c>
      <c r="AD32" s="92"/>
      <c r="AE32" s="14" t="s">
        <v>16</v>
      </c>
      <c r="AF32" s="132" t="s">
        <v>1146</v>
      </c>
      <c r="AG32" s="121" t="s">
        <v>1029</v>
      </c>
      <c r="AH32" s="147">
        <v>1.0</v>
      </c>
      <c r="AI32" s="148">
        <v>2.0</v>
      </c>
      <c r="AJ32" s="121">
        <f t="shared" ref="AJ32:AK32" si="138">AH32</f>
        <v>1</v>
      </c>
      <c r="AK32" s="121">
        <f t="shared" si="138"/>
        <v>2</v>
      </c>
      <c r="AL32" s="125">
        <f t="shared" si="115"/>
        <v>2</v>
      </c>
      <c r="AM32" s="128" t="s">
        <v>1031</v>
      </c>
      <c r="AN32" s="86"/>
    </row>
    <row r="33" ht="12.75" customHeight="1">
      <c r="A33" s="14" t="s">
        <v>99</v>
      </c>
      <c r="B33" s="110" t="s">
        <v>1147</v>
      </c>
      <c r="C33" s="111" t="s">
        <v>1049</v>
      </c>
      <c r="D33" s="112">
        <v>3.0</v>
      </c>
      <c r="E33" s="113">
        <v>1.0</v>
      </c>
      <c r="F33" s="114">
        <f t="shared" ref="F33:G33" si="139">D31+D32+D33</f>
        <v>3</v>
      </c>
      <c r="G33" s="114">
        <f t="shared" si="139"/>
        <v>4</v>
      </c>
      <c r="H33" s="115">
        <f t="shared" ref="H33:H37" si="146">G33/F33</f>
        <v>1.333333333</v>
      </c>
      <c r="I33" s="157" t="s">
        <v>1148</v>
      </c>
      <c r="J33" s="86"/>
      <c r="K33" s="99" t="s">
        <v>116</v>
      </c>
      <c r="L33" s="100" t="s">
        <v>1149</v>
      </c>
      <c r="M33" s="12" t="s">
        <v>1049</v>
      </c>
      <c r="N33" s="56">
        <v>0.0</v>
      </c>
      <c r="O33" s="96">
        <v>2.0</v>
      </c>
      <c r="P33" s="12">
        <f t="shared" ref="P33:Q33" si="140">N31+N32+N33</f>
        <v>1</v>
      </c>
      <c r="Q33" s="12">
        <f t="shared" si="140"/>
        <v>4</v>
      </c>
      <c r="R33" s="97">
        <f t="shared" si="126"/>
        <v>4</v>
      </c>
      <c r="S33" s="98" t="s">
        <v>17</v>
      </c>
      <c r="T33" s="104"/>
      <c r="U33" s="14" t="s">
        <v>1088</v>
      </c>
      <c r="V33" s="95" t="s">
        <v>1150</v>
      </c>
      <c r="W33" s="12" t="s">
        <v>1049</v>
      </c>
      <c r="X33" s="101">
        <v>2.0</v>
      </c>
      <c r="Y33" s="96">
        <v>2.0</v>
      </c>
      <c r="Z33" s="12">
        <f t="shared" ref="Z33:AA33" si="141">X31+X32+X33</f>
        <v>3</v>
      </c>
      <c r="AA33" s="12">
        <f t="shared" si="141"/>
        <v>5</v>
      </c>
      <c r="AB33" s="102">
        <f t="shared" si="142"/>
        <v>1.666666667</v>
      </c>
      <c r="AC33" s="106" t="s">
        <v>1038</v>
      </c>
      <c r="AD33" s="92"/>
      <c r="AE33" s="14" t="s">
        <v>16</v>
      </c>
      <c r="AF33" s="14" t="s">
        <v>1151</v>
      </c>
      <c r="AG33" s="108" t="s">
        <v>1037</v>
      </c>
      <c r="AH33" s="109">
        <v>1.0</v>
      </c>
      <c r="AI33" s="105">
        <v>1.0</v>
      </c>
      <c r="AJ33" s="12">
        <f t="shared" ref="AJ33:AK33" si="143">AH32+AH33</f>
        <v>2</v>
      </c>
      <c r="AK33" s="12">
        <f t="shared" si="143"/>
        <v>3</v>
      </c>
      <c r="AL33" s="102">
        <f t="shared" si="115"/>
        <v>1.5</v>
      </c>
      <c r="AM33" s="103" t="s">
        <v>1031</v>
      </c>
      <c r="AN33" s="86"/>
      <c r="AO33" s="152" t="s">
        <v>650</v>
      </c>
      <c r="AP33" s="152">
        <v>1.0</v>
      </c>
      <c r="AQ33" s="12" t="s">
        <v>1029</v>
      </c>
      <c r="AR33" s="56">
        <v>2.0</v>
      </c>
      <c r="AS33" s="56">
        <v>3.0</v>
      </c>
      <c r="AT33" s="155">
        <f t="shared" ref="AT33:AU33" si="144">AR33</f>
        <v>2</v>
      </c>
      <c r="AU33" s="56">
        <f t="shared" si="144"/>
        <v>3</v>
      </c>
      <c r="AV33" s="102">
        <f t="shared" ref="AV33:AV34" si="151">AU33/AT33</f>
        <v>1.5</v>
      </c>
      <c r="AW33" s="103" t="s">
        <v>1035</v>
      </c>
    </row>
    <row r="34" ht="12.75" customHeight="1">
      <c r="A34" s="14" t="s">
        <v>99</v>
      </c>
      <c r="B34" s="120" t="s">
        <v>1152</v>
      </c>
      <c r="C34" s="121" t="s">
        <v>1029</v>
      </c>
      <c r="D34" s="122">
        <v>1.0</v>
      </c>
      <c r="E34" s="162">
        <v>1.0</v>
      </c>
      <c r="F34" s="124">
        <f t="shared" ref="F34:G34" si="145">D34</f>
        <v>1</v>
      </c>
      <c r="G34" s="124">
        <f t="shared" si="145"/>
        <v>1</v>
      </c>
      <c r="H34" s="125">
        <f t="shared" si="146"/>
        <v>1</v>
      </c>
      <c r="I34" s="163" t="s">
        <v>1041</v>
      </c>
      <c r="J34" s="86"/>
      <c r="K34" s="99" t="s">
        <v>116</v>
      </c>
      <c r="L34" s="100" t="s">
        <v>1153</v>
      </c>
      <c r="M34" s="12" t="s">
        <v>1049</v>
      </c>
      <c r="N34" s="56">
        <v>0.0</v>
      </c>
      <c r="O34" s="96">
        <v>2.0</v>
      </c>
      <c r="P34" s="12">
        <f t="shared" ref="P34:Q34" si="147">N31+N32+N34</f>
        <v>1</v>
      </c>
      <c r="Q34" s="12">
        <f t="shared" si="147"/>
        <v>4</v>
      </c>
      <c r="R34" s="97">
        <f t="shared" si="126"/>
        <v>4</v>
      </c>
      <c r="S34" s="98" t="s">
        <v>17</v>
      </c>
      <c r="T34" s="104"/>
      <c r="U34" s="14" t="s">
        <v>1088</v>
      </c>
      <c r="V34" s="95" t="s">
        <v>1074</v>
      </c>
      <c r="W34" s="12" t="s">
        <v>1037</v>
      </c>
      <c r="X34" s="101">
        <v>0.0</v>
      </c>
      <c r="Y34" s="96">
        <v>2.0</v>
      </c>
      <c r="Z34" s="56">
        <f t="shared" ref="Z34:AA34" si="148">X31+X34</f>
        <v>0</v>
      </c>
      <c r="AA34" s="56">
        <f t="shared" si="148"/>
        <v>3</v>
      </c>
      <c r="AB34" s="102">
        <f>AA34</f>
        <v>3</v>
      </c>
      <c r="AC34" s="98" t="s">
        <v>17</v>
      </c>
      <c r="AD34" s="92"/>
      <c r="AE34" s="14" t="s">
        <v>16</v>
      </c>
      <c r="AF34" s="14" t="s">
        <v>1154</v>
      </c>
      <c r="AG34" s="12" t="s">
        <v>1049</v>
      </c>
      <c r="AH34" s="101">
        <v>1.0</v>
      </c>
      <c r="AI34" s="96">
        <v>2.0</v>
      </c>
      <c r="AJ34" s="56">
        <f t="shared" ref="AJ34:AK34" si="149">AH32+AH33+AH34</f>
        <v>3</v>
      </c>
      <c r="AK34" s="56">
        <f t="shared" si="149"/>
        <v>5</v>
      </c>
      <c r="AL34" s="102">
        <f t="shared" si="115"/>
        <v>1.666666667</v>
      </c>
      <c r="AM34" s="103" t="s">
        <v>1031</v>
      </c>
      <c r="AN34" s="86"/>
      <c r="AO34" s="152" t="s">
        <v>650</v>
      </c>
      <c r="AP34" s="152">
        <v>2.0</v>
      </c>
      <c r="AQ34" s="108" t="s">
        <v>1037</v>
      </c>
      <c r="AR34" s="12">
        <v>2.0</v>
      </c>
      <c r="AS34" s="12">
        <v>3.0</v>
      </c>
      <c r="AT34" s="155">
        <f t="shared" ref="AT34:AU34" si="150">AR34</f>
        <v>2</v>
      </c>
      <c r="AU34" s="56">
        <f t="shared" si="150"/>
        <v>3</v>
      </c>
      <c r="AV34" s="102">
        <f t="shared" si="151"/>
        <v>1.5</v>
      </c>
      <c r="AW34" s="103" t="s">
        <v>1035</v>
      </c>
    </row>
    <row r="35" ht="12.75" customHeight="1">
      <c r="A35" s="14" t="s">
        <v>99</v>
      </c>
      <c r="B35" s="95" t="s">
        <v>1155</v>
      </c>
      <c r="C35" s="12" t="s">
        <v>1037</v>
      </c>
      <c r="D35" s="101">
        <v>2.0</v>
      </c>
      <c r="E35" s="96">
        <v>2.0</v>
      </c>
      <c r="F35" s="56">
        <f t="shared" ref="F35:G35" si="152">D34+D35</f>
        <v>3</v>
      </c>
      <c r="G35" s="56">
        <f t="shared" si="152"/>
        <v>3</v>
      </c>
      <c r="H35" s="102">
        <f t="shared" si="146"/>
        <v>1</v>
      </c>
      <c r="I35" s="164" t="s">
        <v>1066</v>
      </c>
      <c r="J35" s="86"/>
      <c r="K35" s="99" t="s">
        <v>116</v>
      </c>
      <c r="L35" s="100" t="s">
        <v>1156</v>
      </c>
      <c r="M35" s="12" t="s">
        <v>1054</v>
      </c>
      <c r="N35" s="56">
        <v>0.0</v>
      </c>
      <c r="O35" s="96">
        <v>4.0</v>
      </c>
      <c r="P35" s="12">
        <f t="shared" ref="P35:Q35" si="153">N31+N32+N34+N35</f>
        <v>1</v>
      </c>
      <c r="Q35" s="12">
        <f t="shared" si="153"/>
        <v>8</v>
      </c>
      <c r="R35" s="97">
        <f t="shared" si="126"/>
        <v>8</v>
      </c>
      <c r="S35" s="98" t="s">
        <v>17</v>
      </c>
      <c r="T35" s="104"/>
      <c r="U35" s="14" t="s">
        <v>1088</v>
      </c>
      <c r="V35" s="95" t="s">
        <v>1157</v>
      </c>
      <c r="W35" s="12" t="s">
        <v>1049</v>
      </c>
      <c r="X35" s="101">
        <v>1.0</v>
      </c>
      <c r="Y35" s="96">
        <v>2.0</v>
      </c>
      <c r="Z35" s="56">
        <f t="shared" ref="Z35:AA35" si="154">X31+X34+X35</f>
        <v>1</v>
      </c>
      <c r="AA35" s="56">
        <f t="shared" si="154"/>
        <v>5</v>
      </c>
      <c r="AB35" s="102">
        <f>AA35/Z35</f>
        <v>5</v>
      </c>
      <c r="AC35" s="103" t="s">
        <v>1031</v>
      </c>
      <c r="AD35" s="92"/>
      <c r="AE35" s="14" t="s">
        <v>16</v>
      </c>
      <c r="AF35" s="14" t="s">
        <v>1158</v>
      </c>
      <c r="AG35" s="12" t="s">
        <v>1054</v>
      </c>
      <c r="AH35" s="101">
        <v>3.0</v>
      </c>
      <c r="AI35" s="96">
        <v>2.0</v>
      </c>
      <c r="AJ35" s="56">
        <f t="shared" ref="AJ35:AK35" si="155">AH32+AH33+AH34+AH35</f>
        <v>6</v>
      </c>
      <c r="AK35" s="56">
        <f t="shared" si="155"/>
        <v>7</v>
      </c>
      <c r="AL35" s="102">
        <f t="shared" si="115"/>
        <v>1.166666667</v>
      </c>
      <c r="AM35" s="103" t="s">
        <v>1047</v>
      </c>
      <c r="AN35" s="86"/>
      <c r="AO35" s="159" t="s">
        <v>1056</v>
      </c>
      <c r="AQ35" s="12"/>
      <c r="AR35" s="160">
        <f>SUM(AR33:AR34)</f>
        <v>4</v>
      </c>
      <c r="AV35" s="161"/>
    </row>
    <row r="36" ht="12.75" customHeight="1">
      <c r="A36" s="14" t="s">
        <v>99</v>
      </c>
      <c r="B36" s="95" t="s">
        <v>1159</v>
      </c>
      <c r="C36" s="12" t="s">
        <v>1049</v>
      </c>
      <c r="D36" s="101">
        <v>3.0</v>
      </c>
      <c r="E36" s="96">
        <v>2.0</v>
      </c>
      <c r="F36" s="56">
        <f t="shared" ref="F36:G36" si="156">D34+D35+D36</f>
        <v>6</v>
      </c>
      <c r="G36" s="56">
        <f t="shared" si="156"/>
        <v>5</v>
      </c>
      <c r="H36" s="102">
        <f t="shared" si="146"/>
        <v>0.8333333333</v>
      </c>
      <c r="I36" s="164" t="s">
        <v>1148</v>
      </c>
      <c r="J36" s="86"/>
      <c r="K36" s="99" t="s">
        <v>116</v>
      </c>
      <c r="L36" s="100" t="s">
        <v>1160</v>
      </c>
      <c r="M36" s="12" t="s">
        <v>1054</v>
      </c>
      <c r="N36" s="56">
        <v>0.0</v>
      </c>
      <c r="O36" s="96">
        <v>3.0</v>
      </c>
      <c r="P36" s="12">
        <f t="shared" ref="P36:Q36" si="157">N31+N32+N34+N36</f>
        <v>1</v>
      </c>
      <c r="Q36" s="12">
        <f t="shared" si="157"/>
        <v>7</v>
      </c>
      <c r="R36" s="97">
        <f t="shared" si="126"/>
        <v>7</v>
      </c>
      <c r="S36" s="98" t="s">
        <v>17</v>
      </c>
      <c r="T36" s="104"/>
      <c r="U36" s="14" t="s">
        <v>1088</v>
      </c>
      <c r="V36" s="95" t="s">
        <v>1161</v>
      </c>
      <c r="W36" s="12" t="s">
        <v>1049</v>
      </c>
      <c r="X36" s="101">
        <v>0.0</v>
      </c>
      <c r="Y36" s="96">
        <v>1.0</v>
      </c>
      <c r="Z36" s="56">
        <f t="shared" ref="Z36:AA36" si="158">X31+X34+X36</f>
        <v>0</v>
      </c>
      <c r="AA36" s="56">
        <f t="shared" si="158"/>
        <v>4</v>
      </c>
      <c r="AB36" s="102">
        <f>AA36</f>
        <v>4</v>
      </c>
      <c r="AC36" s="98" t="s">
        <v>17</v>
      </c>
      <c r="AD36" s="92"/>
      <c r="AE36" s="14" t="s">
        <v>16</v>
      </c>
      <c r="AF36" s="30" t="s">
        <v>1162</v>
      </c>
      <c r="AG36" s="142" t="s">
        <v>1100</v>
      </c>
      <c r="AH36" s="112">
        <v>3.0</v>
      </c>
      <c r="AI36" s="113">
        <v>3.0</v>
      </c>
      <c r="AJ36" s="114">
        <f t="shared" ref="AJ36:AK36" si="159">AH32+AH33+AH34+AH35+AH36</f>
        <v>9</v>
      </c>
      <c r="AK36" s="114">
        <f t="shared" si="159"/>
        <v>10</v>
      </c>
      <c r="AL36" s="115">
        <f t="shared" si="115"/>
        <v>1.111111111</v>
      </c>
      <c r="AM36" s="118" t="s">
        <v>1047</v>
      </c>
      <c r="AN36" s="86"/>
      <c r="AO36" s="86"/>
      <c r="AP36" s="86"/>
      <c r="AQ36" s="86"/>
      <c r="AR36" s="86"/>
      <c r="AS36" s="86"/>
      <c r="AT36" s="86"/>
      <c r="AU36" s="86"/>
      <c r="AV36" s="86"/>
      <c r="AW36" s="86"/>
    </row>
    <row r="37" ht="12.75" customHeight="1">
      <c r="A37" s="14" t="s">
        <v>99</v>
      </c>
      <c r="B37" s="110" t="s">
        <v>1163</v>
      </c>
      <c r="C37" s="111" t="s">
        <v>1054</v>
      </c>
      <c r="D37" s="112">
        <v>5.0</v>
      </c>
      <c r="E37" s="113">
        <v>3.0</v>
      </c>
      <c r="F37" s="114">
        <f t="shared" ref="F37:G37" si="160">D34+D35+D36+D37</f>
        <v>11</v>
      </c>
      <c r="G37" s="114">
        <f t="shared" si="160"/>
        <v>8</v>
      </c>
      <c r="H37" s="115">
        <f t="shared" si="146"/>
        <v>0.7272727273</v>
      </c>
      <c r="I37" s="157" t="s">
        <v>1164</v>
      </c>
      <c r="J37" s="86"/>
      <c r="K37" s="99" t="s">
        <v>116</v>
      </c>
      <c r="L37" s="117" t="s">
        <v>1165</v>
      </c>
      <c r="M37" s="111" t="s">
        <v>1100</v>
      </c>
      <c r="N37" s="112">
        <v>4.0</v>
      </c>
      <c r="O37" s="113">
        <v>5.0</v>
      </c>
      <c r="P37" s="111">
        <f t="shared" ref="P37:Q37" si="161">N31+N32+N34+N36+N37</f>
        <v>5</v>
      </c>
      <c r="Q37" s="111">
        <f t="shared" si="161"/>
        <v>12</v>
      </c>
      <c r="R37" s="115">
        <f t="shared" si="126"/>
        <v>2.4</v>
      </c>
      <c r="S37" s="118" t="s">
        <v>1166</v>
      </c>
      <c r="T37" s="143"/>
      <c r="U37" s="14" t="s">
        <v>1088</v>
      </c>
      <c r="V37" s="95" t="s">
        <v>1167</v>
      </c>
      <c r="W37" s="108" t="s">
        <v>1054</v>
      </c>
      <c r="X37" s="101">
        <v>1.0</v>
      </c>
      <c r="Y37" s="96">
        <v>1.0</v>
      </c>
      <c r="Z37" s="56">
        <f t="shared" ref="Z37:AA37" si="162">X31+X34+X36+X37</f>
        <v>1</v>
      </c>
      <c r="AA37" s="56">
        <f t="shared" si="162"/>
        <v>5</v>
      </c>
      <c r="AB37" s="102">
        <f>AA37/Z37</f>
        <v>5</v>
      </c>
      <c r="AC37" s="106" t="s">
        <v>1031</v>
      </c>
      <c r="AD37" s="92"/>
      <c r="AE37" s="14" t="s">
        <v>16</v>
      </c>
      <c r="AF37" s="132" t="s">
        <v>1168</v>
      </c>
      <c r="AG37" s="121" t="s">
        <v>1029</v>
      </c>
      <c r="AH37" s="147">
        <v>1.0</v>
      </c>
      <c r="AI37" s="148">
        <v>1.0</v>
      </c>
      <c r="AJ37" s="121">
        <f t="shared" ref="AJ37:AK37" si="163">AH37</f>
        <v>1</v>
      </c>
      <c r="AK37" s="121">
        <f t="shared" si="163"/>
        <v>1</v>
      </c>
      <c r="AL37" s="125">
        <f t="shared" si="115"/>
        <v>1</v>
      </c>
      <c r="AM37" s="128" t="s">
        <v>1031</v>
      </c>
      <c r="AN37" s="86"/>
      <c r="AO37" s="165" t="s">
        <v>1169</v>
      </c>
      <c r="AP37" s="5" t="s">
        <v>1013</v>
      </c>
      <c r="AQ37" s="5" t="s">
        <v>1014</v>
      </c>
      <c r="AR37" s="93" t="s">
        <v>1023</v>
      </c>
      <c r="AS37" s="93" t="s">
        <v>1016</v>
      </c>
      <c r="AT37" s="153" t="s">
        <v>1024</v>
      </c>
      <c r="AU37" s="93" t="s">
        <v>1018</v>
      </c>
      <c r="AV37" s="5" t="s">
        <v>1025</v>
      </c>
      <c r="AW37" s="5" t="s">
        <v>1122</v>
      </c>
    </row>
    <row r="38" ht="12.75" customHeight="1">
      <c r="A38" s="14" t="s">
        <v>99</v>
      </c>
      <c r="B38" s="120" t="s">
        <v>1170</v>
      </c>
      <c r="C38" s="121" t="s">
        <v>1029</v>
      </c>
      <c r="D38" s="124">
        <v>0.0</v>
      </c>
      <c r="E38" s="123">
        <v>1.0</v>
      </c>
      <c r="F38" s="124">
        <f t="shared" ref="F38:G38" si="164">D38</f>
        <v>0</v>
      </c>
      <c r="G38" s="124">
        <f t="shared" si="164"/>
        <v>1</v>
      </c>
      <c r="H38" s="158">
        <f>G38</f>
        <v>1</v>
      </c>
      <c r="I38" s="129" t="s">
        <v>17</v>
      </c>
      <c r="J38" s="86"/>
      <c r="K38" s="99" t="s">
        <v>116</v>
      </c>
      <c r="L38" s="100" t="s">
        <v>1171</v>
      </c>
      <c r="M38" s="12" t="s">
        <v>1029</v>
      </c>
      <c r="N38" s="101">
        <v>2.0</v>
      </c>
      <c r="O38" s="96">
        <v>2.0</v>
      </c>
      <c r="P38" s="12">
        <f t="shared" ref="P38:Q38" si="165">N38</f>
        <v>2</v>
      </c>
      <c r="Q38" s="12">
        <f t="shared" si="165"/>
        <v>2</v>
      </c>
      <c r="R38" s="102">
        <f t="shared" si="126"/>
        <v>1</v>
      </c>
      <c r="S38" s="103" t="s">
        <v>1038</v>
      </c>
      <c r="T38" s="143"/>
      <c r="U38" s="14" t="s">
        <v>1088</v>
      </c>
      <c r="V38" s="95" t="s">
        <v>1172</v>
      </c>
      <c r="W38" s="108" t="s">
        <v>1054</v>
      </c>
      <c r="X38" s="101">
        <v>0.0</v>
      </c>
      <c r="Y38" s="96">
        <v>3.0</v>
      </c>
      <c r="Z38" s="56">
        <f t="shared" ref="Z38:AA38" si="166">X31+X34+X36+X38</f>
        <v>0</v>
      </c>
      <c r="AA38" s="56">
        <f t="shared" si="166"/>
        <v>7</v>
      </c>
      <c r="AB38" s="102">
        <f t="shared" ref="AB38:AB39" si="172">AA38</f>
        <v>7</v>
      </c>
      <c r="AC38" s="98" t="s">
        <v>17</v>
      </c>
      <c r="AD38" s="92"/>
      <c r="AE38" s="14" t="s">
        <v>16</v>
      </c>
      <c r="AF38" s="14" t="s">
        <v>1173</v>
      </c>
      <c r="AG38" s="108" t="s">
        <v>1037</v>
      </c>
      <c r="AH38" s="12">
        <v>0.0</v>
      </c>
      <c r="AI38" s="105">
        <v>2.0</v>
      </c>
      <c r="AJ38" s="12">
        <f t="shared" ref="AJ38:AK38" si="167">AH37+AH38</f>
        <v>1</v>
      </c>
      <c r="AK38" s="12">
        <f t="shared" si="167"/>
        <v>3</v>
      </c>
      <c r="AL38" s="102">
        <f>AK38</f>
        <v>3</v>
      </c>
      <c r="AM38" s="98" t="s">
        <v>17</v>
      </c>
      <c r="AN38" s="86"/>
      <c r="AO38" s="14" t="s">
        <v>1174</v>
      </c>
      <c r="AP38" s="152">
        <v>1.0</v>
      </c>
      <c r="AQ38" s="12" t="s">
        <v>1029</v>
      </c>
      <c r="AR38" s="12">
        <v>2.0</v>
      </c>
      <c r="AS38" s="12">
        <v>1.0</v>
      </c>
      <c r="AT38" s="166">
        <f t="shared" ref="AT38:AU38" si="168">AR38</f>
        <v>2</v>
      </c>
      <c r="AU38" s="12">
        <f t="shared" si="168"/>
        <v>1</v>
      </c>
      <c r="AV38" s="102">
        <f>AU38</f>
        <v>1</v>
      </c>
      <c r="AW38" s="103" t="s">
        <v>1035</v>
      </c>
    </row>
    <row r="39" ht="12.75" customHeight="1">
      <c r="A39" s="14" t="s">
        <v>99</v>
      </c>
      <c r="B39" s="95" t="s">
        <v>1175</v>
      </c>
      <c r="C39" s="12" t="s">
        <v>1037</v>
      </c>
      <c r="D39" s="101">
        <v>1.0</v>
      </c>
      <c r="E39" s="96">
        <v>1.0</v>
      </c>
      <c r="F39" s="56">
        <f t="shared" ref="F39:G39" si="169">D38+D39</f>
        <v>1</v>
      </c>
      <c r="G39" s="56">
        <f t="shared" si="169"/>
        <v>2</v>
      </c>
      <c r="H39" s="102">
        <f t="shared" ref="H39:H41" si="176">G39/F39</f>
        <v>2</v>
      </c>
      <c r="I39" s="164" t="s">
        <v>1041</v>
      </c>
      <c r="J39" s="86"/>
      <c r="K39" s="99" t="s">
        <v>116</v>
      </c>
      <c r="L39" s="100" t="s">
        <v>1176</v>
      </c>
      <c r="M39" s="108" t="s">
        <v>1037</v>
      </c>
      <c r="N39" s="56">
        <v>0.0</v>
      </c>
      <c r="O39" s="96">
        <v>3.0</v>
      </c>
      <c r="P39" s="12">
        <f t="shared" ref="P39:Q39" si="170">N38+N39</f>
        <v>2</v>
      </c>
      <c r="Q39" s="12">
        <f t="shared" si="170"/>
        <v>5</v>
      </c>
      <c r="R39" s="97">
        <f t="shared" si="126"/>
        <v>2.5</v>
      </c>
      <c r="S39" s="98" t="s">
        <v>17</v>
      </c>
      <c r="T39" s="143"/>
      <c r="U39" s="14" t="s">
        <v>1088</v>
      </c>
      <c r="V39" s="95" t="s">
        <v>1177</v>
      </c>
      <c r="W39" s="108" t="s">
        <v>1100</v>
      </c>
      <c r="X39" s="101">
        <v>0.0</v>
      </c>
      <c r="Y39" s="96">
        <v>2.0</v>
      </c>
      <c r="Z39" s="56">
        <f t="shared" ref="Z39:AA39" si="171">X31+X34+X36+X38+X39</f>
        <v>0</v>
      </c>
      <c r="AA39" s="56">
        <f t="shared" si="171"/>
        <v>9</v>
      </c>
      <c r="AB39" s="102">
        <f t="shared" si="172"/>
        <v>9</v>
      </c>
      <c r="AC39" s="98" t="s">
        <v>17</v>
      </c>
      <c r="AD39" s="92"/>
      <c r="AE39" s="14" t="s">
        <v>16</v>
      </c>
      <c r="AF39" s="30" t="s">
        <v>1178</v>
      </c>
      <c r="AG39" s="111" t="s">
        <v>1049</v>
      </c>
      <c r="AH39" s="133">
        <v>2.0</v>
      </c>
      <c r="AI39" s="134">
        <v>3.0</v>
      </c>
      <c r="AJ39" s="111">
        <f t="shared" ref="AJ39:AK39" si="173">AH37+AH38+AH39</f>
        <v>3</v>
      </c>
      <c r="AK39" s="111">
        <f t="shared" si="173"/>
        <v>6</v>
      </c>
      <c r="AL39" s="115">
        <f t="shared" ref="AL39:AL44" si="180">AK39/AJ39</f>
        <v>2</v>
      </c>
      <c r="AM39" s="118" t="s">
        <v>1038</v>
      </c>
      <c r="AN39" s="86"/>
      <c r="AO39" s="14" t="s">
        <v>1174</v>
      </c>
      <c r="AP39" s="152">
        <v>2.0</v>
      </c>
      <c r="AQ39" s="108" t="s">
        <v>1037</v>
      </c>
      <c r="AR39" s="12">
        <v>3.0</v>
      </c>
      <c r="AS39" s="12">
        <v>1.0</v>
      </c>
      <c r="AT39" s="166">
        <f t="shared" ref="AT39:AU39" si="174">AR39</f>
        <v>3</v>
      </c>
      <c r="AU39" s="12">
        <f t="shared" si="174"/>
        <v>1</v>
      </c>
      <c r="AV39" s="102">
        <f t="shared" ref="AV39:AV41" si="182">AU39/AT39</f>
        <v>0.3333333333</v>
      </c>
      <c r="AW39" s="103" t="s">
        <v>1044</v>
      </c>
    </row>
    <row r="40" ht="12.75" customHeight="1">
      <c r="A40" s="14" t="s">
        <v>99</v>
      </c>
      <c r="B40" s="95" t="s">
        <v>1179</v>
      </c>
      <c r="C40" s="12" t="s">
        <v>1037</v>
      </c>
      <c r="D40" s="101">
        <v>1.0</v>
      </c>
      <c r="E40" s="167">
        <v>1.0</v>
      </c>
      <c r="F40" s="56">
        <f t="shared" ref="F40:G40" si="175">D38+D40</f>
        <v>1</v>
      </c>
      <c r="G40" s="56">
        <f t="shared" si="175"/>
        <v>2</v>
      </c>
      <c r="H40" s="102">
        <f t="shared" si="176"/>
        <v>2</v>
      </c>
      <c r="I40" s="164" t="s">
        <v>1041</v>
      </c>
      <c r="J40" s="86"/>
      <c r="K40" s="99" t="s">
        <v>116</v>
      </c>
      <c r="L40" s="100" t="s">
        <v>1180</v>
      </c>
      <c r="M40" s="12" t="s">
        <v>1049</v>
      </c>
      <c r="N40" s="56">
        <v>0.0</v>
      </c>
      <c r="O40" s="96">
        <v>3.0</v>
      </c>
      <c r="P40" s="12">
        <f t="shared" ref="P40:Q40" si="177">N38+N39+N40</f>
        <v>2</v>
      </c>
      <c r="Q40" s="12">
        <f t="shared" si="177"/>
        <v>8</v>
      </c>
      <c r="R40" s="97">
        <f t="shared" si="126"/>
        <v>4</v>
      </c>
      <c r="S40" s="98" t="s">
        <v>17</v>
      </c>
      <c r="T40" s="143"/>
      <c r="U40" s="14" t="s">
        <v>1088</v>
      </c>
      <c r="V40" s="95" t="s">
        <v>1181</v>
      </c>
      <c r="W40" s="108" t="s">
        <v>1103</v>
      </c>
      <c r="X40" s="101">
        <v>3.0</v>
      </c>
      <c r="Y40" s="96">
        <v>3.0</v>
      </c>
      <c r="Z40" s="56">
        <f t="shared" ref="Z40:AA40" si="178">X31+X34+X36+X38+X39+X40</f>
        <v>3</v>
      </c>
      <c r="AA40" s="56">
        <f t="shared" si="178"/>
        <v>12</v>
      </c>
      <c r="AB40" s="102">
        <f>AA40/Z40</f>
        <v>4</v>
      </c>
      <c r="AC40" s="106" t="s">
        <v>1047</v>
      </c>
      <c r="AD40" s="92"/>
      <c r="AE40" s="14" t="s">
        <v>16</v>
      </c>
      <c r="AF40" s="168" t="s">
        <v>1182</v>
      </c>
      <c r="AG40" s="136" t="s">
        <v>1029</v>
      </c>
      <c r="AH40" s="169">
        <v>1.0</v>
      </c>
      <c r="AI40" s="170">
        <v>1.0</v>
      </c>
      <c r="AJ40" s="136">
        <f t="shared" ref="AJ40:AK40" si="179">AH40</f>
        <v>1</v>
      </c>
      <c r="AK40" s="136">
        <f t="shared" si="179"/>
        <v>1</v>
      </c>
      <c r="AL40" s="140">
        <f t="shared" si="180"/>
        <v>1</v>
      </c>
      <c r="AM40" s="146" t="s">
        <v>1031</v>
      </c>
      <c r="AN40" s="86"/>
      <c r="AO40" s="14" t="s">
        <v>1174</v>
      </c>
      <c r="AP40" s="152">
        <v>3.0</v>
      </c>
      <c r="AQ40" s="12" t="s">
        <v>1049</v>
      </c>
      <c r="AR40" s="12">
        <v>3.0</v>
      </c>
      <c r="AS40" s="12">
        <v>1.0</v>
      </c>
      <c r="AT40" s="166">
        <f t="shared" ref="AT40:AU40" si="181">AR40</f>
        <v>3</v>
      </c>
      <c r="AU40" s="12">
        <f t="shared" si="181"/>
        <v>1</v>
      </c>
      <c r="AV40" s="102">
        <f t="shared" si="182"/>
        <v>0.3333333333</v>
      </c>
      <c r="AW40" s="103" t="s">
        <v>1044</v>
      </c>
    </row>
    <row r="41" ht="12.75" customHeight="1">
      <c r="A41" s="30" t="s">
        <v>99</v>
      </c>
      <c r="B41" s="110" t="s">
        <v>1183</v>
      </c>
      <c r="C41" s="111" t="s">
        <v>1049</v>
      </c>
      <c r="D41" s="112">
        <v>1.0</v>
      </c>
      <c r="E41" s="171">
        <v>2.0</v>
      </c>
      <c r="F41" s="114">
        <f t="shared" ref="F41:G41" si="183">D38+D40+D41</f>
        <v>2</v>
      </c>
      <c r="G41" s="114">
        <f t="shared" si="183"/>
        <v>4</v>
      </c>
      <c r="H41" s="115">
        <f t="shared" si="176"/>
        <v>2</v>
      </c>
      <c r="I41" s="157" t="s">
        <v>1041</v>
      </c>
      <c r="J41" s="86"/>
      <c r="K41" s="99" t="s">
        <v>116</v>
      </c>
      <c r="L41" s="100" t="s">
        <v>1184</v>
      </c>
      <c r="M41" s="108" t="s">
        <v>1037</v>
      </c>
      <c r="N41" s="56">
        <v>0.0</v>
      </c>
      <c r="O41" s="96">
        <v>4.0</v>
      </c>
      <c r="P41" s="12">
        <f t="shared" ref="P41:Q41" si="184">N38+N41</f>
        <v>2</v>
      </c>
      <c r="Q41" s="12">
        <f t="shared" si="184"/>
        <v>6</v>
      </c>
      <c r="R41" s="97">
        <f t="shared" si="126"/>
        <v>3</v>
      </c>
      <c r="S41" s="98" t="s">
        <v>17</v>
      </c>
      <c r="T41" s="143"/>
      <c r="U41" s="13" t="s">
        <v>1056</v>
      </c>
      <c r="X41" s="119">
        <f>SUM(X16:X40)</f>
        <v>24</v>
      </c>
      <c r="AD41" s="92"/>
      <c r="AE41" s="14" t="s">
        <v>16</v>
      </c>
      <c r="AF41" s="132" t="s">
        <v>1185</v>
      </c>
      <c r="AG41" s="121" t="s">
        <v>1029</v>
      </c>
      <c r="AH41" s="147">
        <v>1.0</v>
      </c>
      <c r="AI41" s="148">
        <v>1.0</v>
      </c>
      <c r="AJ41" s="121">
        <f t="shared" ref="AJ41:AK41" si="185">AH41</f>
        <v>1</v>
      </c>
      <c r="AK41" s="121">
        <f t="shared" si="185"/>
        <v>1</v>
      </c>
      <c r="AL41" s="125">
        <f t="shared" si="180"/>
        <v>1</v>
      </c>
      <c r="AM41" s="128" t="s">
        <v>1031</v>
      </c>
      <c r="AN41" s="86"/>
      <c r="AO41" s="14" t="s">
        <v>1174</v>
      </c>
      <c r="AP41" s="152">
        <v>4.0</v>
      </c>
      <c r="AQ41" s="12" t="s">
        <v>1054</v>
      </c>
      <c r="AR41" s="12">
        <v>3.0</v>
      </c>
      <c r="AS41" s="12">
        <v>1.0</v>
      </c>
      <c r="AT41" s="166">
        <f t="shared" ref="AT41:AU41" si="186">AR41</f>
        <v>3</v>
      </c>
      <c r="AU41" s="12">
        <f t="shared" si="186"/>
        <v>1</v>
      </c>
      <c r="AV41" s="102">
        <f t="shared" si="182"/>
        <v>0.3333333333</v>
      </c>
      <c r="AW41" s="103" t="s">
        <v>1044</v>
      </c>
    </row>
    <row r="42" ht="12.75" customHeight="1">
      <c r="A42" s="14" t="s">
        <v>175</v>
      </c>
      <c r="B42" s="95" t="s">
        <v>1032</v>
      </c>
      <c r="C42" s="12" t="s">
        <v>1029</v>
      </c>
      <c r="D42" s="56">
        <v>0.0</v>
      </c>
      <c r="E42" s="96">
        <v>1.0</v>
      </c>
      <c r="F42" s="56">
        <f t="shared" ref="F42:G42" si="187">D42</f>
        <v>0</v>
      </c>
      <c r="G42" s="56">
        <f t="shared" si="187"/>
        <v>1</v>
      </c>
      <c r="H42" s="97">
        <f>G42</f>
        <v>1</v>
      </c>
      <c r="I42" s="98" t="s">
        <v>17</v>
      </c>
      <c r="J42" s="86"/>
      <c r="K42" s="99" t="s">
        <v>116</v>
      </c>
      <c r="L42" s="100" t="s">
        <v>1186</v>
      </c>
      <c r="M42" s="12" t="s">
        <v>1049</v>
      </c>
      <c r="N42" s="101">
        <v>3.0</v>
      </c>
      <c r="O42" s="96">
        <v>5.0</v>
      </c>
      <c r="P42" s="12">
        <f t="shared" ref="P42:Q42" si="188">N38+N41+N42</f>
        <v>5</v>
      </c>
      <c r="Q42" s="12">
        <f t="shared" si="188"/>
        <v>11</v>
      </c>
      <c r="R42" s="102">
        <f t="shared" si="126"/>
        <v>2.2</v>
      </c>
      <c r="S42" s="103" t="s">
        <v>1047</v>
      </c>
      <c r="T42" s="143"/>
      <c r="AD42" s="92"/>
      <c r="AE42" s="14" t="s">
        <v>16</v>
      </c>
      <c r="AF42" s="30" t="s">
        <v>1187</v>
      </c>
      <c r="AG42" s="142" t="s">
        <v>1037</v>
      </c>
      <c r="AH42" s="112">
        <v>1.0</v>
      </c>
      <c r="AI42" s="113">
        <v>2.0</v>
      </c>
      <c r="AJ42" s="111">
        <f t="shared" ref="AJ42:AK42" si="189">AH41+AH42</f>
        <v>2</v>
      </c>
      <c r="AK42" s="111">
        <f t="shared" si="189"/>
        <v>3</v>
      </c>
      <c r="AL42" s="115">
        <f t="shared" si="180"/>
        <v>1.5</v>
      </c>
      <c r="AM42" s="118" t="s">
        <v>1031</v>
      </c>
      <c r="AN42" s="86"/>
      <c r="AO42" s="159" t="s">
        <v>1056</v>
      </c>
      <c r="AP42" s="152"/>
      <c r="AQ42" s="12"/>
      <c r="AR42" s="172">
        <f>SUM(AR38:AR41)</f>
        <v>11</v>
      </c>
    </row>
    <row r="43" ht="12.75" customHeight="1">
      <c r="A43" s="14" t="s">
        <v>175</v>
      </c>
      <c r="B43" s="95" t="s">
        <v>1046</v>
      </c>
      <c r="C43" s="12" t="s">
        <v>1037</v>
      </c>
      <c r="D43" s="101">
        <v>1.0</v>
      </c>
      <c r="E43" s="96">
        <v>2.0</v>
      </c>
      <c r="F43" s="56">
        <f t="shared" ref="F43:G43" si="190">D42+D43</f>
        <v>1</v>
      </c>
      <c r="G43" s="56">
        <f t="shared" si="190"/>
        <v>3</v>
      </c>
      <c r="H43" s="102">
        <f>G43/F43</f>
        <v>3</v>
      </c>
      <c r="I43" s="106" t="s">
        <v>1031</v>
      </c>
      <c r="J43" s="86"/>
      <c r="K43" s="13" t="s">
        <v>1056</v>
      </c>
      <c r="N43" s="119">
        <f>SUM(N4:N42)</f>
        <v>42</v>
      </c>
      <c r="T43" s="143"/>
      <c r="U43" s="14" t="s">
        <v>208</v>
      </c>
      <c r="V43" s="95" t="s">
        <v>1030</v>
      </c>
      <c r="W43" s="12" t="s">
        <v>1029</v>
      </c>
      <c r="X43" s="101">
        <v>0.0</v>
      </c>
      <c r="Y43" s="96">
        <v>1.0</v>
      </c>
      <c r="Z43" s="56">
        <f t="shared" ref="Z43:AA43" si="191">X43</f>
        <v>0</v>
      </c>
      <c r="AA43" s="56">
        <f t="shared" si="191"/>
        <v>1</v>
      </c>
      <c r="AB43" s="102">
        <f>AA43</f>
        <v>1</v>
      </c>
      <c r="AC43" s="98" t="s">
        <v>17</v>
      </c>
      <c r="AD43" s="92"/>
      <c r="AE43" s="14" t="s">
        <v>16</v>
      </c>
      <c r="AF43" s="132" t="s">
        <v>1188</v>
      </c>
      <c r="AG43" s="121" t="s">
        <v>1029</v>
      </c>
      <c r="AH43" s="147">
        <v>1.0</v>
      </c>
      <c r="AI43" s="148">
        <v>1.0</v>
      </c>
      <c r="AJ43" s="121">
        <f t="shared" ref="AJ43:AK43" si="192">AH43</f>
        <v>1</v>
      </c>
      <c r="AK43" s="121">
        <f t="shared" si="192"/>
        <v>1</v>
      </c>
      <c r="AL43" s="125">
        <f t="shared" si="180"/>
        <v>1</v>
      </c>
      <c r="AM43" s="128" t="s">
        <v>1031</v>
      </c>
      <c r="AN43" s="86"/>
    </row>
    <row r="44" ht="12.75" customHeight="1">
      <c r="A44" s="13" t="s">
        <v>1056</v>
      </c>
      <c r="D44" s="119">
        <f>SUM(D27:D43)</f>
        <v>22</v>
      </c>
      <c r="E44" s="151" t="s">
        <v>1096</v>
      </c>
      <c r="F44" s="14"/>
      <c r="G44" s="14"/>
      <c r="H44" s="12"/>
      <c r="I44" s="18"/>
      <c r="J44" s="86"/>
      <c r="T44" s="92"/>
      <c r="U44" s="14" t="s">
        <v>208</v>
      </c>
      <c r="V44" s="95" t="s">
        <v>1039</v>
      </c>
      <c r="W44" s="108" t="s">
        <v>1037</v>
      </c>
      <c r="X44" s="101">
        <v>1.0</v>
      </c>
      <c r="Y44" s="96">
        <v>1.0</v>
      </c>
      <c r="Z44" s="56">
        <f t="shared" ref="Z44:AA44" si="193">X43+X44</f>
        <v>1</v>
      </c>
      <c r="AA44" s="56">
        <f t="shared" si="193"/>
        <v>2</v>
      </c>
      <c r="AB44" s="102">
        <f t="shared" ref="AB44:AB45" si="197">AA44/Z44</f>
        <v>2</v>
      </c>
      <c r="AC44" s="106" t="s">
        <v>1031</v>
      </c>
      <c r="AD44" s="92"/>
      <c r="AE44" s="14" t="s">
        <v>16</v>
      </c>
      <c r="AF44" s="30" t="s">
        <v>1189</v>
      </c>
      <c r="AG44" s="142" t="s">
        <v>1037</v>
      </c>
      <c r="AH44" s="112">
        <v>1.0</v>
      </c>
      <c r="AI44" s="113">
        <v>2.0</v>
      </c>
      <c r="AJ44" s="111">
        <f t="shared" ref="AJ44:AK44" si="194">AH43+AH44</f>
        <v>2</v>
      </c>
      <c r="AK44" s="111">
        <f t="shared" si="194"/>
        <v>3</v>
      </c>
      <c r="AL44" s="115">
        <f t="shared" si="180"/>
        <v>1.5</v>
      </c>
      <c r="AM44" s="118" t="s">
        <v>1031</v>
      </c>
      <c r="AN44" s="86"/>
      <c r="AO44" s="14" t="s">
        <v>333</v>
      </c>
      <c r="AP44" s="152">
        <v>1.0</v>
      </c>
      <c r="AQ44" s="12" t="s">
        <v>1029</v>
      </c>
      <c r="AR44" s="12">
        <v>2.0</v>
      </c>
      <c r="AS44" s="12">
        <v>1.0</v>
      </c>
      <c r="AT44" s="155">
        <f t="shared" ref="AT44:AU44" si="195">AR44</f>
        <v>2</v>
      </c>
      <c r="AU44" s="56">
        <f t="shared" si="195"/>
        <v>1</v>
      </c>
      <c r="AV44" s="102">
        <f>AU44</f>
        <v>1</v>
      </c>
      <c r="AW44" s="103" t="s">
        <v>1035</v>
      </c>
    </row>
    <row r="45" ht="12.75" customHeight="1">
      <c r="D45" s="14"/>
      <c r="E45" s="14"/>
      <c r="F45" s="14"/>
      <c r="G45" s="14"/>
      <c r="H45" s="12"/>
      <c r="I45" s="18"/>
      <c r="J45" s="86"/>
      <c r="K45" s="99" t="s">
        <v>1190</v>
      </c>
      <c r="L45" s="95" t="s">
        <v>1032</v>
      </c>
      <c r="M45" s="12" t="s">
        <v>1029</v>
      </c>
      <c r="N45" s="56">
        <v>0.0</v>
      </c>
      <c r="O45" s="96">
        <v>1.0</v>
      </c>
      <c r="P45" s="56">
        <f>N45</f>
        <v>0</v>
      </c>
      <c r="Q45" s="56">
        <v>1.0</v>
      </c>
      <c r="R45" s="97">
        <f>Q45</f>
        <v>1</v>
      </c>
      <c r="S45" s="173" t="s">
        <v>17</v>
      </c>
      <c r="T45" s="104"/>
      <c r="U45" s="14" t="s">
        <v>208</v>
      </c>
      <c r="V45" s="110" t="s">
        <v>1191</v>
      </c>
      <c r="W45" s="111" t="s">
        <v>1049</v>
      </c>
      <c r="X45" s="112">
        <v>2.0</v>
      </c>
      <c r="Y45" s="113">
        <v>2.0</v>
      </c>
      <c r="Z45" s="114">
        <f t="shared" ref="Z45:AA45" si="196">X43+X44+X45</f>
        <v>3</v>
      </c>
      <c r="AA45" s="114">
        <f t="shared" si="196"/>
        <v>4</v>
      </c>
      <c r="AB45" s="115">
        <f t="shared" si="197"/>
        <v>1.333333333</v>
      </c>
      <c r="AC45" s="116" t="s">
        <v>1038</v>
      </c>
      <c r="AD45" s="92"/>
      <c r="AE45" s="14" t="s">
        <v>16</v>
      </c>
      <c r="AF45" s="120" t="s">
        <v>1192</v>
      </c>
      <c r="AG45" s="121" t="s">
        <v>1029</v>
      </c>
      <c r="AH45" s="121">
        <v>0.0</v>
      </c>
      <c r="AI45" s="148">
        <v>1.0</v>
      </c>
      <c r="AJ45" s="121">
        <f t="shared" ref="AJ45:AK45" si="198">AH45</f>
        <v>0</v>
      </c>
      <c r="AK45" s="121">
        <f t="shared" si="198"/>
        <v>1</v>
      </c>
      <c r="AL45" s="125">
        <f t="shared" ref="AL45:AL47" si="204">AK45</f>
        <v>1</v>
      </c>
      <c r="AM45" s="98" t="s">
        <v>17</v>
      </c>
      <c r="AN45" s="86"/>
      <c r="AO45" s="14" t="s">
        <v>333</v>
      </c>
      <c r="AP45" s="152">
        <v>2.0</v>
      </c>
      <c r="AQ45" s="108" t="s">
        <v>1037</v>
      </c>
      <c r="AR45" s="12">
        <v>2.0</v>
      </c>
      <c r="AS45" s="12">
        <v>1.0</v>
      </c>
      <c r="AT45" s="155">
        <f t="shared" ref="AT45:AU45" si="199">AR44+AR45</f>
        <v>4</v>
      </c>
      <c r="AU45" s="56">
        <f t="shared" si="199"/>
        <v>2</v>
      </c>
      <c r="AV45" s="102">
        <f t="shared" ref="AV45:AV48" si="206">AU45/AT45</f>
        <v>0.5</v>
      </c>
      <c r="AW45" s="103" t="s">
        <v>1035</v>
      </c>
    </row>
    <row r="46" ht="12.75" customHeight="1">
      <c r="A46" s="14" t="s">
        <v>1193</v>
      </c>
      <c r="B46" s="95" t="s">
        <v>1032</v>
      </c>
      <c r="C46" s="12" t="s">
        <v>1029</v>
      </c>
      <c r="D46" s="101">
        <v>1.0</v>
      </c>
      <c r="E46" s="96">
        <v>1.0</v>
      </c>
      <c r="F46" s="56">
        <f t="shared" ref="F46:G46" si="200">D46</f>
        <v>1</v>
      </c>
      <c r="G46" s="56">
        <f t="shared" si="200"/>
        <v>1</v>
      </c>
      <c r="H46" s="102">
        <f t="shared" ref="H46:H48" si="208">G46/F46</f>
        <v>1</v>
      </c>
      <c r="I46" s="164" t="s">
        <v>1031</v>
      </c>
      <c r="J46" s="86"/>
      <c r="K46" s="99" t="s">
        <v>1190</v>
      </c>
      <c r="L46" s="110" t="s">
        <v>1046</v>
      </c>
      <c r="M46" s="111" t="s">
        <v>1037</v>
      </c>
      <c r="N46" s="112">
        <v>1.0</v>
      </c>
      <c r="O46" s="113">
        <v>3.0</v>
      </c>
      <c r="P46" s="114">
        <f t="shared" ref="P46:Q46" si="201">N45+N46</f>
        <v>1</v>
      </c>
      <c r="Q46" s="114">
        <f t="shared" si="201"/>
        <v>4</v>
      </c>
      <c r="R46" s="115">
        <f>Q46/P46</f>
        <v>4</v>
      </c>
      <c r="S46" s="116" t="s">
        <v>1031</v>
      </c>
      <c r="T46" s="104"/>
      <c r="U46" s="14" t="s">
        <v>208</v>
      </c>
      <c r="V46" s="95" t="s">
        <v>1028</v>
      </c>
      <c r="W46" s="12" t="s">
        <v>1029</v>
      </c>
      <c r="X46" s="101">
        <v>0.0</v>
      </c>
      <c r="Y46" s="96">
        <v>1.0</v>
      </c>
      <c r="Z46" s="56">
        <f t="shared" ref="Z46:AA46" si="202">X46</f>
        <v>0</v>
      </c>
      <c r="AA46" s="56">
        <f t="shared" si="202"/>
        <v>1</v>
      </c>
      <c r="AB46" s="102">
        <f t="shared" ref="AB46:AB47" si="210">AA46</f>
        <v>1</v>
      </c>
      <c r="AC46" s="98" t="s">
        <v>17</v>
      </c>
      <c r="AD46" s="92"/>
      <c r="AE46" s="14" t="s">
        <v>16</v>
      </c>
      <c r="AF46" s="95" t="s">
        <v>1194</v>
      </c>
      <c r="AG46" s="108" t="s">
        <v>1037</v>
      </c>
      <c r="AH46" s="56">
        <v>0.0</v>
      </c>
      <c r="AI46" s="96">
        <v>2.0</v>
      </c>
      <c r="AJ46" s="12">
        <f t="shared" ref="AJ46:AK46" si="203">AH45+AH46</f>
        <v>0</v>
      </c>
      <c r="AK46" s="12">
        <f t="shared" si="203"/>
        <v>3</v>
      </c>
      <c r="AL46" s="102">
        <f t="shared" si="204"/>
        <v>3</v>
      </c>
      <c r="AM46" s="98" t="s">
        <v>17</v>
      </c>
      <c r="AN46" s="86"/>
      <c r="AO46" s="14" t="s">
        <v>333</v>
      </c>
      <c r="AP46" s="152">
        <v>3.0</v>
      </c>
      <c r="AQ46" s="12" t="s">
        <v>1049</v>
      </c>
      <c r="AR46" s="12">
        <v>1.0</v>
      </c>
      <c r="AS46" s="12">
        <v>1.0</v>
      </c>
      <c r="AT46" s="155">
        <f t="shared" ref="AT46:AU46" si="205">AR44+AR45+AR46</f>
        <v>5</v>
      </c>
      <c r="AU46" s="56">
        <f t="shared" si="205"/>
        <v>3</v>
      </c>
      <c r="AV46" s="102">
        <f t="shared" si="206"/>
        <v>0.6</v>
      </c>
      <c r="AW46" s="103" t="s">
        <v>1084</v>
      </c>
    </row>
    <row r="47" ht="12.75" customHeight="1">
      <c r="A47" s="14" t="s">
        <v>1193</v>
      </c>
      <c r="B47" s="95" t="s">
        <v>1046</v>
      </c>
      <c r="C47" s="12" t="s">
        <v>1037</v>
      </c>
      <c r="D47" s="101">
        <v>1.0</v>
      </c>
      <c r="E47" s="96">
        <v>2.0</v>
      </c>
      <c r="F47" s="56">
        <f t="shared" ref="F47:G47" si="207">D46+D47</f>
        <v>2</v>
      </c>
      <c r="G47" s="56">
        <f t="shared" si="207"/>
        <v>3</v>
      </c>
      <c r="H47" s="102">
        <f t="shared" si="208"/>
        <v>1.5</v>
      </c>
      <c r="I47" s="164" t="s">
        <v>1031</v>
      </c>
      <c r="J47" s="86"/>
      <c r="K47" s="99" t="s">
        <v>1190</v>
      </c>
      <c r="L47" s="95" t="s">
        <v>1028</v>
      </c>
      <c r="M47" s="12" t="s">
        <v>1029</v>
      </c>
      <c r="N47" s="56">
        <v>0.0</v>
      </c>
      <c r="O47" s="96">
        <v>1.0</v>
      </c>
      <c r="P47" s="56">
        <f>N47</f>
        <v>0</v>
      </c>
      <c r="Q47" s="56">
        <v>1.0</v>
      </c>
      <c r="R47" s="97">
        <f>Q47</f>
        <v>1</v>
      </c>
      <c r="S47" s="173" t="s">
        <v>17</v>
      </c>
      <c r="T47" s="104"/>
      <c r="U47" s="14" t="s">
        <v>208</v>
      </c>
      <c r="V47" s="95" t="s">
        <v>1045</v>
      </c>
      <c r="W47" s="108" t="s">
        <v>1037</v>
      </c>
      <c r="X47" s="101">
        <v>0.0</v>
      </c>
      <c r="Y47" s="96">
        <v>1.0</v>
      </c>
      <c r="Z47" s="56">
        <f t="shared" ref="Z47:AA47" si="209">X46+X47</f>
        <v>0</v>
      </c>
      <c r="AA47" s="56">
        <f t="shared" si="209"/>
        <v>2</v>
      </c>
      <c r="AB47" s="102">
        <f t="shared" si="210"/>
        <v>2</v>
      </c>
      <c r="AC47" s="98" t="s">
        <v>17</v>
      </c>
      <c r="AD47" s="92"/>
      <c r="AE47" s="14" t="s">
        <v>16</v>
      </c>
      <c r="AF47" s="95" t="s">
        <v>1195</v>
      </c>
      <c r="AG47" s="12" t="s">
        <v>1049</v>
      </c>
      <c r="AH47" s="56">
        <v>0.0</v>
      </c>
      <c r="AI47" s="96">
        <v>2.0</v>
      </c>
      <c r="AJ47" s="12">
        <f t="shared" ref="AJ47:AK47" si="211">AH45+AH46+AH47</f>
        <v>0</v>
      </c>
      <c r="AK47" s="12">
        <f t="shared" si="211"/>
        <v>5</v>
      </c>
      <c r="AL47" s="102">
        <f t="shared" si="204"/>
        <v>5</v>
      </c>
      <c r="AM47" s="98" t="s">
        <v>17</v>
      </c>
      <c r="AN47" s="86"/>
      <c r="AO47" s="14" t="s">
        <v>333</v>
      </c>
      <c r="AP47" s="152">
        <v>4.0</v>
      </c>
      <c r="AQ47" s="12" t="s">
        <v>1054</v>
      </c>
      <c r="AR47" s="12">
        <v>1.0</v>
      </c>
      <c r="AS47" s="12">
        <v>1.0</v>
      </c>
      <c r="AT47" s="155">
        <f t="shared" ref="AT47:AU47" si="212">AR44+AR45+AR46+AR47</f>
        <v>6</v>
      </c>
      <c r="AU47" s="56">
        <f t="shared" si="212"/>
        <v>4</v>
      </c>
      <c r="AV47" s="102">
        <f t="shared" si="206"/>
        <v>0.6666666667</v>
      </c>
      <c r="AW47" s="103" t="s">
        <v>1084</v>
      </c>
    </row>
    <row r="48" ht="12.75" customHeight="1">
      <c r="A48" s="14" t="s">
        <v>1193</v>
      </c>
      <c r="B48" s="95" t="s">
        <v>1090</v>
      </c>
      <c r="C48" s="12" t="s">
        <v>1049</v>
      </c>
      <c r="D48" s="101">
        <v>2.0</v>
      </c>
      <c r="E48" s="96">
        <v>2.0</v>
      </c>
      <c r="F48" s="56">
        <f t="shared" ref="F48:G48" si="213">D46+D47+D48</f>
        <v>4</v>
      </c>
      <c r="G48" s="56">
        <f t="shared" si="213"/>
        <v>5</v>
      </c>
      <c r="H48" s="102">
        <f t="shared" si="208"/>
        <v>1.25</v>
      </c>
      <c r="I48" s="164" t="s">
        <v>1038</v>
      </c>
      <c r="J48" s="86"/>
      <c r="K48" s="99" t="s">
        <v>1190</v>
      </c>
      <c r="L48" s="95" t="s">
        <v>1045</v>
      </c>
      <c r="M48" s="12" t="s">
        <v>1037</v>
      </c>
      <c r="N48" s="101">
        <v>2.0</v>
      </c>
      <c r="O48" s="96">
        <v>3.0</v>
      </c>
      <c r="P48" s="56">
        <f t="shared" ref="P48:Q48" si="214">N47+N48</f>
        <v>2</v>
      </c>
      <c r="Q48" s="56">
        <f t="shared" si="214"/>
        <v>4</v>
      </c>
      <c r="R48" s="102">
        <f>Q48/P48</f>
        <v>2</v>
      </c>
      <c r="S48" s="106" t="s">
        <v>1038</v>
      </c>
      <c r="T48" s="104"/>
      <c r="U48" s="30" t="s">
        <v>208</v>
      </c>
      <c r="V48" s="110" t="s">
        <v>1052</v>
      </c>
      <c r="W48" s="111" t="s">
        <v>1049</v>
      </c>
      <c r="X48" s="112">
        <v>1.0</v>
      </c>
      <c r="Y48" s="113">
        <v>2.0</v>
      </c>
      <c r="Z48" s="114">
        <f t="shared" ref="Z48:AA48" si="215">X46+X47+X48</f>
        <v>1</v>
      </c>
      <c r="AA48" s="114">
        <f t="shared" si="215"/>
        <v>4</v>
      </c>
      <c r="AB48" s="115">
        <f t="shared" ref="AB48:AB49" si="219">AA48/Z48</f>
        <v>4</v>
      </c>
      <c r="AC48" s="116" t="s">
        <v>1031</v>
      </c>
      <c r="AD48" s="92"/>
      <c r="AE48" s="14" t="s">
        <v>16</v>
      </c>
      <c r="AF48" s="95" t="s">
        <v>1196</v>
      </c>
      <c r="AG48" s="12" t="s">
        <v>1054</v>
      </c>
      <c r="AH48" s="101">
        <v>2.0</v>
      </c>
      <c r="AI48" s="96">
        <v>1.0</v>
      </c>
      <c r="AJ48" s="12">
        <f t="shared" ref="AJ48:AK48" si="216">AH45+AH46+AH47+AH48</f>
        <v>2</v>
      </c>
      <c r="AK48" s="12">
        <f t="shared" si="216"/>
        <v>6</v>
      </c>
      <c r="AL48" s="102">
        <f t="shared" ref="AL48:AL50" si="221">AK48/AJ48</f>
        <v>3</v>
      </c>
      <c r="AM48" s="103" t="s">
        <v>1035</v>
      </c>
      <c r="AN48" s="86"/>
      <c r="AO48" s="14" t="s">
        <v>333</v>
      </c>
      <c r="AP48" s="152">
        <v>5.0</v>
      </c>
      <c r="AQ48" s="12" t="s">
        <v>1100</v>
      </c>
      <c r="AR48" s="12">
        <v>1.0</v>
      </c>
      <c r="AS48" s="12">
        <v>1.0</v>
      </c>
      <c r="AT48" s="155">
        <f t="shared" ref="AT48:AU48" si="217">AR44+AR45+AR46+AR47+AR48</f>
        <v>7</v>
      </c>
      <c r="AU48" s="56">
        <f t="shared" si="217"/>
        <v>5</v>
      </c>
      <c r="AV48" s="102">
        <f t="shared" si="206"/>
        <v>0.7142857143</v>
      </c>
      <c r="AW48" s="103" t="s">
        <v>1084</v>
      </c>
    </row>
    <row r="49" ht="12.75" customHeight="1">
      <c r="A49" s="13" t="s">
        <v>1056</v>
      </c>
      <c r="D49" s="119">
        <f>SUM(D46:D48)</f>
        <v>4</v>
      </c>
      <c r="E49" s="14"/>
      <c r="F49" s="14"/>
      <c r="G49" s="14"/>
      <c r="H49" s="12"/>
      <c r="I49" s="18"/>
      <c r="J49" s="86"/>
      <c r="K49" s="13" t="s">
        <v>1056</v>
      </c>
      <c r="N49" s="119">
        <f>SUM(N45:N48)</f>
        <v>3</v>
      </c>
      <c r="S49" s="18"/>
      <c r="T49" s="104"/>
      <c r="U49" s="168" t="s">
        <v>1197</v>
      </c>
      <c r="V49" s="135" t="s">
        <v>1032</v>
      </c>
      <c r="W49" s="136" t="s">
        <v>1029</v>
      </c>
      <c r="X49" s="137">
        <v>1.0</v>
      </c>
      <c r="Y49" s="138">
        <v>2.0</v>
      </c>
      <c r="Z49" s="139">
        <f t="shared" ref="Z49:AA49" si="218">X49</f>
        <v>1</v>
      </c>
      <c r="AA49" s="139">
        <f t="shared" si="218"/>
        <v>2</v>
      </c>
      <c r="AB49" s="140">
        <f t="shared" si="219"/>
        <v>2</v>
      </c>
      <c r="AC49" s="141" t="s">
        <v>1031</v>
      </c>
      <c r="AD49" s="92"/>
      <c r="AE49" s="14" t="s">
        <v>16</v>
      </c>
      <c r="AF49" s="95" t="s">
        <v>1198</v>
      </c>
      <c r="AG49" s="12" t="s">
        <v>1100</v>
      </c>
      <c r="AH49" s="101">
        <v>3.0</v>
      </c>
      <c r="AI49" s="96">
        <v>2.0</v>
      </c>
      <c r="AJ49" s="12">
        <f t="shared" ref="AJ49:AK49" si="220">AH45+AH46+AH47+AH48+AH49</f>
        <v>5</v>
      </c>
      <c r="AK49" s="12">
        <f t="shared" si="220"/>
        <v>8</v>
      </c>
      <c r="AL49" s="102">
        <f t="shared" si="221"/>
        <v>1.6</v>
      </c>
      <c r="AM49" s="103" t="s">
        <v>1044</v>
      </c>
      <c r="AN49" s="86"/>
      <c r="AO49" s="159" t="s">
        <v>1056</v>
      </c>
      <c r="AQ49" s="12"/>
      <c r="AR49" s="172">
        <f>SUM(AR44:AR48)</f>
        <v>7</v>
      </c>
    </row>
    <row r="50" ht="12.75" customHeight="1">
      <c r="A50" s="86"/>
      <c r="B50" s="86"/>
      <c r="C50" s="86"/>
      <c r="D50" s="86"/>
      <c r="E50" s="86"/>
      <c r="F50" s="86"/>
      <c r="G50" s="86"/>
      <c r="H50" s="130"/>
      <c r="I50" s="131"/>
      <c r="J50" s="86"/>
      <c r="S50" s="18"/>
      <c r="T50" s="104"/>
      <c r="U50" s="14" t="s">
        <v>450</v>
      </c>
      <c r="V50" s="95" t="s">
        <v>1199</v>
      </c>
      <c r="W50" s="12" t="s">
        <v>1029</v>
      </c>
      <c r="X50" s="101">
        <v>0.0</v>
      </c>
      <c r="Y50" s="96">
        <v>1.0</v>
      </c>
      <c r="Z50" s="56">
        <f t="shared" ref="Z50:AA50" si="222">X50</f>
        <v>0</v>
      </c>
      <c r="AA50" s="56">
        <f t="shared" si="222"/>
        <v>1</v>
      </c>
      <c r="AB50" s="102">
        <f>AA50</f>
        <v>1</v>
      </c>
      <c r="AC50" s="98" t="s">
        <v>17</v>
      </c>
      <c r="AD50" s="92"/>
      <c r="AE50" s="14" t="s">
        <v>16</v>
      </c>
      <c r="AF50" s="95" t="s">
        <v>1200</v>
      </c>
      <c r="AG50" s="12" t="s">
        <v>1103</v>
      </c>
      <c r="AH50" s="101">
        <v>3.0</v>
      </c>
      <c r="AI50" s="96">
        <v>3.0</v>
      </c>
      <c r="AJ50" s="12">
        <f t="shared" ref="AJ50:AK50" si="223">AH45+AH46+AH47+AH48+AH49+AH50</f>
        <v>8</v>
      </c>
      <c r="AK50" s="12">
        <f t="shared" si="223"/>
        <v>11</v>
      </c>
      <c r="AL50" s="102">
        <f t="shared" si="221"/>
        <v>1.375</v>
      </c>
      <c r="AM50" s="103" t="s">
        <v>1044</v>
      </c>
      <c r="AN50" s="86"/>
    </row>
    <row r="51" ht="12.75" customHeight="1">
      <c r="A51" s="5" t="s">
        <v>32</v>
      </c>
      <c r="B51" s="5" t="s">
        <v>1013</v>
      </c>
      <c r="C51" s="5" t="s">
        <v>1014</v>
      </c>
      <c r="D51" s="93" t="s">
        <v>1015</v>
      </c>
      <c r="E51" s="94" t="s">
        <v>1016</v>
      </c>
      <c r="F51" s="93" t="s">
        <v>1017</v>
      </c>
      <c r="G51" s="93" t="s">
        <v>1018</v>
      </c>
      <c r="H51" s="5" t="s">
        <v>1025</v>
      </c>
      <c r="I51" s="5" t="s">
        <v>1020</v>
      </c>
      <c r="J51" s="86"/>
      <c r="K51" s="99" t="s">
        <v>1201</v>
      </c>
      <c r="L51" s="95" t="s">
        <v>1032</v>
      </c>
      <c r="M51" s="12" t="s">
        <v>1029</v>
      </c>
      <c r="N51" s="101">
        <v>1.0</v>
      </c>
      <c r="O51" s="96">
        <v>1.0</v>
      </c>
      <c r="P51" s="56">
        <v>3.0</v>
      </c>
      <c r="Q51" s="56">
        <v>1.0</v>
      </c>
      <c r="R51" s="102">
        <f t="shared" ref="R51:R52" si="228">Q51/P51</f>
        <v>0.3333333333</v>
      </c>
      <c r="S51" s="106" t="s">
        <v>1031</v>
      </c>
      <c r="T51" s="104"/>
      <c r="U51" s="14" t="s">
        <v>450</v>
      </c>
      <c r="V51" s="95" t="s">
        <v>1032</v>
      </c>
      <c r="W51" s="108" t="s">
        <v>1037</v>
      </c>
      <c r="X51" s="101">
        <v>1.0</v>
      </c>
      <c r="Y51" s="96">
        <v>1.0</v>
      </c>
      <c r="Z51" s="56">
        <f t="shared" ref="Z51:AA51" si="224">X50+X51</f>
        <v>1</v>
      </c>
      <c r="AA51" s="56">
        <f t="shared" si="224"/>
        <v>2</v>
      </c>
      <c r="AB51" s="102">
        <f t="shared" ref="AB51:AB52" si="230">AA51/Z51</f>
        <v>2</v>
      </c>
      <c r="AC51" s="106" t="s">
        <v>1031</v>
      </c>
      <c r="AD51" s="92"/>
      <c r="AE51" s="13" t="s">
        <v>1056</v>
      </c>
      <c r="AH51" s="119">
        <f>SUM(AH4:AH50)</f>
        <v>66</v>
      </c>
      <c r="AI51" s="151" t="s">
        <v>1096</v>
      </c>
      <c r="AN51" s="86"/>
      <c r="AO51" s="14" t="s">
        <v>1202</v>
      </c>
      <c r="AP51" s="152">
        <v>1.0</v>
      </c>
      <c r="AQ51" s="12" t="s">
        <v>1029</v>
      </c>
      <c r="AR51" s="12">
        <v>3.0</v>
      </c>
      <c r="AS51" s="12">
        <v>1.0</v>
      </c>
      <c r="AT51" s="155">
        <f t="shared" ref="AT51:AU51" si="225">AR51</f>
        <v>3</v>
      </c>
      <c r="AU51" s="56">
        <f t="shared" si="225"/>
        <v>1</v>
      </c>
      <c r="AV51" s="102">
        <f>AU51</f>
        <v>1</v>
      </c>
      <c r="AW51" s="103" t="s">
        <v>1044</v>
      </c>
    </row>
    <row r="52" ht="12.75" customHeight="1">
      <c r="A52" s="99" t="s">
        <v>1203</v>
      </c>
      <c r="B52" s="95" t="s">
        <v>1057</v>
      </c>
      <c r="C52" s="12" t="s">
        <v>1029</v>
      </c>
      <c r="D52" s="101">
        <v>1.0</v>
      </c>
      <c r="E52" s="96">
        <v>1.0</v>
      </c>
      <c r="F52" s="56">
        <f t="shared" ref="F52:G52" si="226">D52</f>
        <v>1</v>
      </c>
      <c r="G52" s="56">
        <f t="shared" si="226"/>
        <v>1</v>
      </c>
      <c r="H52" s="102">
        <f t="shared" ref="H52:H57" si="233">G52/F52</f>
        <v>1</v>
      </c>
      <c r="I52" s="106" t="s">
        <v>1031</v>
      </c>
      <c r="J52" s="86"/>
      <c r="K52" s="99" t="s">
        <v>1201</v>
      </c>
      <c r="L52" s="95" t="s">
        <v>1046</v>
      </c>
      <c r="M52" s="12" t="s">
        <v>1037</v>
      </c>
      <c r="N52" s="101">
        <v>2.0</v>
      </c>
      <c r="O52" s="96">
        <v>3.0</v>
      </c>
      <c r="P52" s="56">
        <f t="shared" ref="P52:Q52" si="227">N51+N52</f>
        <v>3</v>
      </c>
      <c r="Q52" s="56">
        <f t="shared" si="227"/>
        <v>4</v>
      </c>
      <c r="R52" s="102">
        <f t="shared" si="228"/>
        <v>1.333333333</v>
      </c>
      <c r="S52" s="106" t="s">
        <v>1038</v>
      </c>
      <c r="T52" s="174"/>
      <c r="U52" s="14" t="s">
        <v>450</v>
      </c>
      <c r="V52" s="95" t="s">
        <v>1046</v>
      </c>
      <c r="W52" s="12" t="s">
        <v>1049</v>
      </c>
      <c r="X52" s="101">
        <v>2.0</v>
      </c>
      <c r="Y52" s="96">
        <v>2.0</v>
      </c>
      <c r="Z52" s="56">
        <f t="shared" ref="Z52:AA52" si="229">X50+X51+X52</f>
        <v>3</v>
      </c>
      <c r="AA52" s="56">
        <f t="shared" si="229"/>
        <v>4</v>
      </c>
      <c r="AB52" s="102">
        <f t="shared" si="230"/>
        <v>1.333333333</v>
      </c>
      <c r="AC52" s="106" t="s">
        <v>1038</v>
      </c>
      <c r="AD52" s="92"/>
      <c r="AN52" s="86"/>
      <c r="AO52" s="14" t="s">
        <v>1202</v>
      </c>
      <c r="AP52" s="152">
        <v>2.0</v>
      </c>
      <c r="AQ52" s="108" t="s">
        <v>1037</v>
      </c>
      <c r="AR52" s="12">
        <v>2.0</v>
      </c>
      <c r="AS52" s="12">
        <v>1.0</v>
      </c>
      <c r="AT52" s="155">
        <f t="shared" ref="AT52:AU52" si="231">AR51+AR52</f>
        <v>5</v>
      </c>
      <c r="AU52" s="56">
        <f t="shared" si="231"/>
        <v>2</v>
      </c>
      <c r="AV52" s="102">
        <f t="shared" ref="AV52:AV55" si="236">AU52/AT52</f>
        <v>0.4</v>
      </c>
      <c r="AW52" s="103" t="s">
        <v>1035</v>
      </c>
    </row>
    <row r="53" ht="12.75" customHeight="1">
      <c r="A53" s="99" t="s">
        <v>1203</v>
      </c>
      <c r="B53" s="95" t="s">
        <v>1060</v>
      </c>
      <c r="C53" s="12" t="s">
        <v>1037</v>
      </c>
      <c r="D53" s="101">
        <v>2.0</v>
      </c>
      <c r="E53" s="96">
        <v>2.0</v>
      </c>
      <c r="F53" s="56">
        <f t="shared" ref="F53:G53" si="232">D52+D53</f>
        <v>3</v>
      </c>
      <c r="G53" s="56">
        <f t="shared" si="232"/>
        <v>3</v>
      </c>
      <c r="H53" s="102">
        <f t="shared" si="233"/>
        <v>1</v>
      </c>
      <c r="I53" s="106" t="s">
        <v>1038</v>
      </c>
      <c r="J53" s="86"/>
      <c r="K53" s="13" t="s">
        <v>1056</v>
      </c>
      <c r="N53" s="119">
        <f>SUM(N51:N52)</f>
        <v>3</v>
      </c>
      <c r="R53" s="102"/>
      <c r="S53" s="18"/>
      <c r="T53" s="104"/>
      <c r="U53" s="14" t="s">
        <v>450</v>
      </c>
      <c r="V53" s="95" t="s">
        <v>1070</v>
      </c>
      <c r="W53" s="108" t="s">
        <v>1037</v>
      </c>
      <c r="X53" s="101">
        <v>0.0</v>
      </c>
      <c r="Y53" s="96">
        <v>1.0</v>
      </c>
      <c r="Z53" s="12">
        <f t="shared" ref="Z53:AA53" si="234">X50+X53</f>
        <v>0</v>
      </c>
      <c r="AA53" s="12">
        <f t="shared" si="234"/>
        <v>2</v>
      </c>
      <c r="AB53" s="102">
        <f t="shared" ref="AB53:AB54" si="239">AA53</f>
        <v>2</v>
      </c>
      <c r="AC53" s="98" t="s">
        <v>17</v>
      </c>
      <c r="AD53" s="92"/>
      <c r="AN53" s="86"/>
      <c r="AO53" s="14" t="s">
        <v>1202</v>
      </c>
      <c r="AP53" s="152">
        <v>3.0</v>
      </c>
      <c r="AQ53" s="12" t="s">
        <v>1049</v>
      </c>
      <c r="AR53" s="12">
        <v>1.0</v>
      </c>
      <c r="AS53" s="12">
        <v>1.0</v>
      </c>
      <c r="AT53" s="155">
        <f t="shared" ref="AT53:AU53" si="235">AR51+AR52+AR53</f>
        <v>6</v>
      </c>
      <c r="AU53" s="56">
        <f t="shared" si="235"/>
        <v>3</v>
      </c>
      <c r="AV53" s="102">
        <f t="shared" si="236"/>
        <v>0.5</v>
      </c>
      <c r="AW53" s="103" t="s">
        <v>1084</v>
      </c>
    </row>
    <row r="54" ht="12.75" customHeight="1">
      <c r="A54" s="99" t="s">
        <v>1203</v>
      </c>
      <c r="B54" s="95" t="s">
        <v>1204</v>
      </c>
      <c r="C54" s="12" t="s">
        <v>1049</v>
      </c>
      <c r="D54" s="101">
        <v>2.0</v>
      </c>
      <c r="E54" s="96">
        <v>1.0</v>
      </c>
      <c r="F54" s="56">
        <f t="shared" ref="F54:G54" si="237">D52+D53+D54</f>
        <v>5</v>
      </c>
      <c r="G54" s="56">
        <f t="shared" si="237"/>
        <v>4</v>
      </c>
      <c r="H54" s="102">
        <f t="shared" si="233"/>
        <v>0.8</v>
      </c>
      <c r="I54" s="106" t="s">
        <v>1038</v>
      </c>
      <c r="J54" s="86"/>
      <c r="N54" s="13"/>
      <c r="R54" s="102"/>
      <c r="S54" s="18"/>
      <c r="T54" s="104"/>
      <c r="U54" s="14" t="s">
        <v>450</v>
      </c>
      <c r="V54" s="95" t="s">
        <v>1205</v>
      </c>
      <c r="W54" s="12" t="s">
        <v>1049</v>
      </c>
      <c r="X54" s="101">
        <v>0.0</v>
      </c>
      <c r="Y54" s="96">
        <v>2.0</v>
      </c>
      <c r="Z54" s="12">
        <f t="shared" ref="Z54:AA54" si="238">X50+X53+X54</f>
        <v>0</v>
      </c>
      <c r="AA54" s="12">
        <f t="shared" si="238"/>
        <v>4</v>
      </c>
      <c r="AB54" s="102">
        <f t="shared" si="239"/>
        <v>4</v>
      </c>
      <c r="AC54" s="98" t="s">
        <v>17</v>
      </c>
      <c r="AD54" s="92"/>
      <c r="AN54" s="86"/>
      <c r="AO54" s="14" t="s">
        <v>1202</v>
      </c>
      <c r="AP54" s="152">
        <v>4.0</v>
      </c>
      <c r="AQ54" s="12" t="s">
        <v>1054</v>
      </c>
      <c r="AR54" s="12">
        <v>1.0</v>
      </c>
      <c r="AS54" s="12">
        <v>1.0</v>
      </c>
      <c r="AT54" s="155">
        <f t="shared" ref="AT54:AU54" si="240">AR51+AR52+AR53+AR54</f>
        <v>7</v>
      </c>
      <c r="AU54" s="56">
        <f t="shared" si="240"/>
        <v>4</v>
      </c>
      <c r="AV54" s="102">
        <f t="shared" si="236"/>
        <v>0.5714285714</v>
      </c>
      <c r="AW54" s="103" t="s">
        <v>1084</v>
      </c>
    </row>
    <row r="55" ht="12.75" customHeight="1">
      <c r="A55" s="99" t="s">
        <v>1203</v>
      </c>
      <c r="B55" s="110" t="s">
        <v>1206</v>
      </c>
      <c r="C55" s="111" t="s">
        <v>1054</v>
      </c>
      <c r="D55" s="112">
        <v>3.0</v>
      </c>
      <c r="E55" s="113">
        <v>3.0</v>
      </c>
      <c r="F55" s="114">
        <f t="shared" ref="F55:G55" si="241">D52+D53+D54+D55</f>
        <v>8</v>
      </c>
      <c r="G55" s="114">
        <f t="shared" si="241"/>
        <v>7</v>
      </c>
      <c r="H55" s="115">
        <f t="shared" si="233"/>
        <v>0.875</v>
      </c>
      <c r="I55" s="116" t="s">
        <v>1047</v>
      </c>
      <c r="J55" s="86"/>
      <c r="K55" s="99" t="s">
        <v>287</v>
      </c>
      <c r="L55" s="95" t="s">
        <v>1032</v>
      </c>
      <c r="M55" s="12" t="s">
        <v>1029</v>
      </c>
      <c r="N55" s="101">
        <v>1.0</v>
      </c>
      <c r="O55" s="96">
        <v>1.0</v>
      </c>
      <c r="P55" s="56">
        <v>3.0</v>
      </c>
      <c r="Q55" s="56">
        <v>1.0</v>
      </c>
      <c r="R55" s="102">
        <f t="shared" ref="R55:R60" si="246">Q55/P55</f>
        <v>0.3333333333</v>
      </c>
      <c r="S55" s="106" t="s">
        <v>1031</v>
      </c>
      <c r="T55" s="92"/>
      <c r="U55" s="30" t="s">
        <v>450</v>
      </c>
      <c r="V55" s="110" t="s">
        <v>1104</v>
      </c>
      <c r="W55" s="111" t="s">
        <v>1054</v>
      </c>
      <c r="X55" s="112">
        <v>5.0</v>
      </c>
      <c r="Y55" s="113">
        <v>3.0</v>
      </c>
      <c r="Z55" s="111">
        <f t="shared" ref="Z55:AA55" si="242">X50+X53+X54+X55</f>
        <v>5</v>
      </c>
      <c r="AA55" s="111">
        <f t="shared" si="242"/>
        <v>7</v>
      </c>
      <c r="AB55" s="115">
        <f t="shared" ref="AB55:AB57" si="247">AA55/Z55</f>
        <v>1.4</v>
      </c>
      <c r="AC55" s="116" t="s">
        <v>1207</v>
      </c>
      <c r="AD55" s="92"/>
      <c r="AN55" s="86"/>
      <c r="AO55" s="14" t="s">
        <v>1202</v>
      </c>
      <c r="AP55" s="152">
        <v>5.0</v>
      </c>
      <c r="AQ55" s="12" t="s">
        <v>1100</v>
      </c>
      <c r="AR55" s="12">
        <v>1.0</v>
      </c>
      <c r="AS55" s="12">
        <v>1.0</v>
      </c>
      <c r="AT55" s="155">
        <f t="shared" ref="AT55:AU55" si="243">AR51+AR52+AR53+AR54+AR55</f>
        <v>8</v>
      </c>
      <c r="AU55" s="56">
        <f t="shared" si="243"/>
        <v>5</v>
      </c>
      <c r="AV55" s="102">
        <f t="shared" si="236"/>
        <v>0.625</v>
      </c>
      <c r="AW55" s="103" t="s">
        <v>1084</v>
      </c>
    </row>
    <row r="56" ht="12.75" customHeight="1">
      <c r="A56" s="99" t="s">
        <v>1203</v>
      </c>
      <c r="B56" s="120" t="s">
        <v>1208</v>
      </c>
      <c r="C56" s="121" t="s">
        <v>1029</v>
      </c>
      <c r="D56" s="122">
        <v>1.0</v>
      </c>
      <c r="E56" s="123">
        <v>2.0</v>
      </c>
      <c r="F56" s="124">
        <f t="shared" ref="F56:G56" si="244">D56</f>
        <v>1</v>
      </c>
      <c r="G56" s="124">
        <f t="shared" si="244"/>
        <v>2</v>
      </c>
      <c r="H56" s="125">
        <f t="shared" si="233"/>
        <v>2</v>
      </c>
      <c r="I56" s="126" t="s">
        <v>1031</v>
      </c>
      <c r="J56" s="86"/>
      <c r="K56" s="99" t="s">
        <v>287</v>
      </c>
      <c r="L56" s="95" t="s">
        <v>1046</v>
      </c>
      <c r="M56" s="12" t="s">
        <v>1037</v>
      </c>
      <c r="N56" s="101">
        <v>1.0</v>
      </c>
      <c r="O56" s="96">
        <v>2.0</v>
      </c>
      <c r="P56" s="56">
        <f t="shared" ref="P56:Q56" si="245">N55+N56</f>
        <v>2</v>
      </c>
      <c r="Q56" s="56">
        <f t="shared" si="245"/>
        <v>3</v>
      </c>
      <c r="R56" s="102">
        <f t="shared" si="246"/>
        <v>1.5</v>
      </c>
      <c r="S56" s="106" t="s">
        <v>1031</v>
      </c>
      <c r="T56" s="92"/>
      <c r="U56" s="168" t="s">
        <v>1209</v>
      </c>
      <c r="V56" s="135" t="s">
        <v>1073</v>
      </c>
      <c r="W56" s="136" t="s">
        <v>1029</v>
      </c>
      <c r="X56" s="137">
        <v>2.0</v>
      </c>
      <c r="Y56" s="138">
        <v>2.0</v>
      </c>
      <c r="Z56" s="139">
        <v>2.0</v>
      </c>
      <c r="AA56" s="139">
        <f t="shared" ref="AA56:AA57" si="250">Y56</f>
        <v>2</v>
      </c>
      <c r="AB56" s="140">
        <f t="shared" si="247"/>
        <v>1</v>
      </c>
      <c r="AC56" s="141" t="s">
        <v>1038</v>
      </c>
      <c r="AD56" s="92"/>
      <c r="AN56" s="86"/>
      <c r="AO56" s="159" t="s">
        <v>1056</v>
      </c>
      <c r="AR56" s="172">
        <f>SUM(AR51:AR55)</f>
        <v>8</v>
      </c>
    </row>
    <row r="57" ht="12.75" customHeight="1">
      <c r="A57" s="175" t="s">
        <v>1203</v>
      </c>
      <c r="B57" s="110" t="s">
        <v>1210</v>
      </c>
      <c r="C57" s="111" t="s">
        <v>1037</v>
      </c>
      <c r="D57" s="112">
        <v>2.0</v>
      </c>
      <c r="E57" s="113">
        <v>3.0</v>
      </c>
      <c r="F57" s="114">
        <f t="shared" ref="F57:G57" si="248">D56+D57</f>
        <v>3</v>
      </c>
      <c r="G57" s="114">
        <f t="shared" si="248"/>
        <v>5</v>
      </c>
      <c r="H57" s="115">
        <f t="shared" si="233"/>
        <v>1.666666667</v>
      </c>
      <c r="I57" s="116" t="s">
        <v>1038</v>
      </c>
      <c r="J57" s="86"/>
      <c r="K57" s="99" t="s">
        <v>287</v>
      </c>
      <c r="L57" s="110" t="s">
        <v>1090</v>
      </c>
      <c r="M57" s="111" t="s">
        <v>1049</v>
      </c>
      <c r="N57" s="112">
        <v>3.0</v>
      </c>
      <c r="O57" s="113">
        <v>4.0</v>
      </c>
      <c r="P57" s="114">
        <f t="shared" ref="P57:Q57" si="249">N55+N56+N57</f>
        <v>5</v>
      </c>
      <c r="Q57" s="114">
        <f t="shared" si="249"/>
        <v>7</v>
      </c>
      <c r="R57" s="115">
        <f t="shared" si="246"/>
        <v>1.4</v>
      </c>
      <c r="S57" s="116" t="s">
        <v>1047</v>
      </c>
      <c r="T57" s="92"/>
      <c r="U57" s="14" t="s">
        <v>343</v>
      </c>
      <c r="V57" s="95" t="s">
        <v>1073</v>
      </c>
      <c r="W57" s="12" t="s">
        <v>1029</v>
      </c>
      <c r="X57" s="101">
        <v>1.0</v>
      </c>
      <c r="Y57" s="96">
        <v>3.0</v>
      </c>
      <c r="Z57" s="56">
        <v>1.0</v>
      </c>
      <c r="AA57" s="56">
        <f t="shared" si="250"/>
        <v>3</v>
      </c>
      <c r="AB57" s="102">
        <f t="shared" si="247"/>
        <v>3</v>
      </c>
      <c r="AC57" s="106" t="s">
        <v>1031</v>
      </c>
      <c r="AD57" s="92"/>
    </row>
    <row r="58" ht="12.75" customHeight="1">
      <c r="A58" s="176" t="s">
        <v>271</v>
      </c>
      <c r="B58" s="120" t="s">
        <v>1032</v>
      </c>
      <c r="C58" s="121" t="s">
        <v>1029</v>
      </c>
      <c r="D58" s="124">
        <v>0.0</v>
      </c>
      <c r="E58" s="123">
        <v>1.0</v>
      </c>
      <c r="F58" s="124">
        <f t="shared" ref="F58:G58" si="251">D58</f>
        <v>0</v>
      </c>
      <c r="G58" s="124">
        <f t="shared" si="251"/>
        <v>1</v>
      </c>
      <c r="H58" s="158">
        <f>G58</f>
        <v>1</v>
      </c>
      <c r="I58" s="129" t="s">
        <v>17</v>
      </c>
      <c r="J58" s="86"/>
      <c r="K58" s="99" t="s">
        <v>287</v>
      </c>
      <c r="L58" s="95" t="s">
        <v>1028</v>
      </c>
      <c r="M58" s="12" t="s">
        <v>1029</v>
      </c>
      <c r="N58" s="101">
        <v>1.0</v>
      </c>
      <c r="O58" s="96">
        <v>2.0</v>
      </c>
      <c r="P58" s="56">
        <v>3.0</v>
      </c>
      <c r="Q58" s="56">
        <v>1.0</v>
      </c>
      <c r="R58" s="102">
        <f t="shared" si="246"/>
        <v>0.3333333333</v>
      </c>
      <c r="S58" s="106" t="s">
        <v>1031</v>
      </c>
      <c r="T58" s="92"/>
      <c r="U58" s="13" t="s">
        <v>1056</v>
      </c>
      <c r="X58" s="119">
        <f>SUM(X43:X57)</f>
        <v>16</v>
      </c>
      <c r="AD58" s="92"/>
    </row>
    <row r="59" ht="12.75" customHeight="1">
      <c r="A59" s="99" t="s">
        <v>271</v>
      </c>
      <c r="B59" s="95" t="s">
        <v>1046</v>
      </c>
      <c r="C59" s="12" t="s">
        <v>1037</v>
      </c>
      <c r="D59" s="101">
        <v>1.0</v>
      </c>
      <c r="E59" s="96">
        <v>1.0</v>
      </c>
      <c r="F59" s="56">
        <f t="shared" ref="F59:G59" si="252">D58+D59</f>
        <v>1</v>
      </c>
      <c r="G59" s="56">
        <f t="shared" si="252"/>
        <v>2</v>
      </c>
      <c r="H59" s="102">
        <f t="shared" ref="H59:H60" si="255">G59/F59</f>
        <v>2</v>
      </c>
      <c r="I59" s="106" t="s">
        <v>1031</v>
      </c>
      <c r="J59" s="86"/>
      <c r="K59" s="175" t="s">
        <v>287</v>
      </c>
      <c r="L59" s="110" t="s">
        <v>1045</v>
      </c>
      <c r="M59" s="111" t="s">
        <v>1037</v>
      </c>
      <c r="N59" s="112">
        <v>2.0</v>
      </c>
      <c r="O59" s="113">
        <v>4.0</v>
      </c>
      <c r="P59" s="114">
        <f t="shared" ref="P59:Q59" si="253">N58+N59</f>
        <v>3</v>
      </c>
      <c r="Q59" s="114">
        <f t="shared" si="253"/>
        <v>6</v>
      </c>
      <c r="R59" s="115">
        <f t="shared" si="246"/>
        <v>2</v>
      </c>
      <c r="S59" s="116" t="s">
        <v>1038</v>
      </c>
      <c r="T59" s="92"/>
      <c r="AD59" s="86"/>
    </row>
    <row r="60" ht="12.75" customHeight="1">
      <c r="A60" s="175" t="s">
        <v>271</v>
      </c>
      <c r="B60" s="110" t="s">
        <v>1090</v>
      </c>
      <c r="C60" s="111" t="s">
        <v>1049</v>
      </c>
      <c r="D60" s="112">
        <v>2.0</v>
      </c>
      <c r="E60" s="113">
        <v>2.0</v>
      </c>
      <c r="F60" s="114">
        <f t="shared" ref="F60:G60" si="254">D58+D59+D60</f>
        <v>3</v>
      </c>
      <c r="G60" s="114">
        <f t="shared" si="254"/>
        <v>4</v>
      </c>
      <c r="H60" s="115">
        <f t="shared" si="255"/>
        <v>1.333333333</v>
      </c>
      <c r="I60" s="116" t="s">
        <v>1038</v>
      </c>
      <c r="J60" s="86"/>
      <c r="K60" s="99" t="s">
        <v>524</v>
      </c>
      <c r="L60" s="95" t="s">
        <v>1032</v>
      </c>
      <c r="M60" s="12" t="s">
        <v>1029</v>
      </c>
      <c r="N60" s="101">
        <v>2.0</v>
      </c>
      <c r="O60" s="96">
        <v>1.0</v>
      </c>
      <c r="P60" s="56">
        <v>3.0</v>
      </c>
      <c r="Q60" s="56">
        <v>1.0</v>
      </c>
      <c r="R60" s="102">
        <f t="shared" si="246"/>
        <v>0.3333333333</v>
      </c>
      <c r="S60" s="106" t="s">
        <v>1038</v>
      </c>
      <c r="T60" s="92"/>
      <c r="U60" s="14" t="s">
        <v>1211</v>
      </c>
      <c r="V60" s="95" t="s">
        <v>1073</v>
      </c>
      <c r="W60" s="12" t="s">
        <v>1029</v>
      </c>
      <c r="X60" s="101">
        <v>0.0</v>
      </c>
      <c r="Y60" s="96">
        <v>1.0</v>
      </c>
      <c r="Z60" s="56">
        <f t="shared" ref="Z60:AA60" si="256">X60</f>
        <v>0</v>
      </c>
      <c r="AA60" s="56">
        <f t="shared" si="256"/>
        <v>1</v>
      </c>
      <c r="AB60" s="102">
        <f>AA60</f>
        <v>1</v>
      </c>
      <c r="AC60" s="173" t="s">
        <v>17</v>
      </c>
      <c r="AD60" s="86"/>
    </row>
    <row r="61" ht="12.75" customHeight="1">
      <c r="A61" s="176" t="s">
        <v>1212</v>
      </c>
      <c r="B61" s="120" t="s">
        <v>1032</v>
      </c>
      <c r="C61" s="121" t="s">
        <v>1029</v>
      </c>
      <c r="D61" s="124">
        <v>0.0</v>
      </c>
      <c r="E61" s="123">
        <v>1.0</v>
      </c>
      <c r="F61" s="124">
        <f t="shared" ref="F61:G61" si="257">D61</f>
        <v>0</v>
      </c>
      <c r="G61" s="124">
        <f t="shared" si="257"/>
        <v>1</v>
      </c>
      <c r="H61" s="158">
        <f>G61</f>
        <v>1</v>
      </c>
      <c r="I61" s="129" t="s">
        <v>17</v>
      </c>
      <c r="J61" s="86"/>
      <c r="K61" s="13" t="s">
        <v>1056</v>
      </c>
      <c r="N61" s="119">
        <f>SUM(N55:N60)</f>
        <v>10</v>
      </c>
      <c r="S61" s="18"/>
      <c r="T61" s="92"/>
      <c r="U61" s="14" t="s">
        <v>1211</v>
      </c>
      <c r="V61" s="95" t="s">
        <v>1101</v>
      </c>
      <c r="W61" s="12" t="s">
        <v>1037</v>
      </c>
      <c r="X61" s="101">
        <v>1.0</v>
      </c>
      <c r="Y61" s="96">
        <v>2.0</v>
      </c>
      <c r="Z61" s="56">
        <f t="shared" ref="Z61:AA61" si="258">X60+X61</f>
        <v>1</v>
      </c>
      <c r="AA61" s="56">
        <f t="shared" si="258"/>
        <v>3</v>
      </c>
      <c r="AB61" s="102">
        <f t="shared" ref="AB61:AB67" si="261">AA61/Z61</f>
        <v>3</v>
      </c>
      <c r="AC61" s="106" t="s">
        <v>1031</v>
      </c>
      <c r="AD61" s="92"/>
    </row>
    <row r="62" ht="12.75" customHeight="1">
      <c r="A62" s="175" t="s">
        <v>1212</v>
      </c>
      <c r="B62" s="110" t="s">
        <v>1046</v>
      </c>
      <c r="C62" s="111" t="s">
        <v>1037</v>
      </c>
      <c r="D62" s="112">
        <v>1.0</v>
      </c>
      <c r="E62" s="113">
        <v>1.0</v>
      </c>
      <c r="F62" s="114">
        <f t="shared" ref="F62:G62" si="259">D61+D62</f>
        <v>1</v>
      </c>
      <c r="G62" s="114">
        <f t="shared" si="259"/>
        <v>2</v>
      </c>
      <c r="H62" s="115">
        <f>G62/F62</f>
        <v>2</v>
      </c>
      <c r="I62" s="116" t="s">
        <v>1031</v>
      </c>
      <c r="J62" s="86"/>
      <c r="K62" s="14"/>
      <c r="L62" s="14"/>
      <c r="M62" s="14"/>
      <c r="N62" s="13"/>
      <c r="O62" s="14"/>
      <c r="P62" s="14"/>
      <c r="Q62" s="14"/>
      <c r="R62" s="14"/>
      <c r="S62" s="18"/>
      <c r="T62" s="92"/>
      <c r="U62" s="14" t="s">
        <v>1211</v>
      </c>
      <c r="V62" s="95" t="s">
        <v>1111</v>
      </c>
      <c r="W62" s="12" t="s">
        <v>1049</v>
      </c>
      <c r="X62" s="101">
        <v>2.0</v>
      </c>
      <c r="Y62" s="96">
        <v>4.0</v>
      </c>
      <c r="Z62" s="56">
        <f t="shared" ref="Z62:AA62" si="260">X60+X61+X62</f>
        <v>3</v>
      </c>
      <c r="AA62" s="56">
        <f t="shared" si="260"/>
        <v>7</v>
      </c>
      <c r="AB62" s="102">
        <f t="shared" si="261"/>
        <v>2.333333333</v>
      </c>
      <c r="AC62" s="106" t="s">
        <v>1038</v>
      </c>
      <c r="AD62" s="86"/>
    </row>
    <row r="63" ht="12.75" customHeight="1">
      <c r="A63" s="99" t="s">
        <v>1213</v>
      </c>
      <c r="B63" s="95" t="s">
        <v>1073</v>
      </c>
      <c r="C63" s="12" t="s">
        <v>1029</v>
      </c>
      <c r="D63" s="56">
        <v>0.0</v>
      </c>
      <c r="E63" s="96">
        <v>1.0</v>
      </c>
      <c r="F63" s="56">
        <f t="shared" ref="F63:G63" si="262">D63</f>
        <v>0</v>
      </c>
      <c r="G63" s="56">
        <f t="shared" si="262"/>
        <v>1</v>
      </c>
      <c r="H63" s="97">
        <f>G63</f>
        <v>1</v>
      </c>
      <c r="I63" s="98" t="s">
        <v>17</v>
      </c>
      <c r="J63" s="86"/>
      <c r="K63" s="99" t="s">
        <v>1214</v>
      </c>
      <c r="L63" s="95" t="s">
        <v>1032</v>
      </c>
      <c r="M63" s="12" t="s">
        <v>1029</v>
      </c>
      <c r="N63" s="101">
        <v>1.0</v>
      </c>
      <c r="O63" s="96">
        <v>1.0</v>
      </c>
      <c r="P63" s="56">
        <v>3.0</v>
      </c>
      <c r="Q63" s="56">
        <v>1.0</v>
      </c>
      <c r="R63" s="102">
        <f t="shared" ref="R63:R67" si="266">Q63/P63</f>
        <v>0.3333333333</v>
      </c>
      <c r="S63" s="106" t="s">
        <v>1031</v>
      </c>
      <c r="T63" s="92"/>
      <c r="U63" s="30" t="s">
        <v>1211</v>
      </c>
      <c r="V63" s="110" t="s">
        <v>1068</v>
      </c>
      <c r="W63" s="111" t="s">
        <v>1037</v>
      </c>
      <c r="X63" s="112">
        <v>1.0</v>
      </c>
      <c r="Y63" s="113">
        <v>3.0</v>
      </c>
      <c r="Z63" s="114">
        <f t="shared" ref="Z63:AA63" si="263">X60+X63</f>
        <v>1</v>
      </c>
      <c r="AA63" s="114">
        <f t="shared" si="263"/>
        <v>4</v>
      </c>
      <c r="AB63" s="115">
        <f t="shared" si="261"/>
        <v>4</v>
      </c>
      <c r="AC63" s="116" t="s">
        <v>1031</v>
      </c>
      <c r="AD63" s="86"/>
    </row>
    <row r="64" ht="12.75" customHeight="1">
      <c r="A64" s="99" t="s">
        <v>1213</v>
      </c>
      <c r="B64" s="95" t="s">
        <v>1101</v>
      </c>
      <c r="C64" s="12" t="s">
        <v>1037</v>
      </c>
      <c r="D64" s="101">
        <v>2.0</v>
      </c>
      <c r="E64" s="96">
        <v>1.0</v>
      </c>
      <c r="F64" s="56">
        <f t="shared" ref="F64:G64" si="264">D63+D64</f>
        <v>2</v>
      </c>
      <c r="G64" s="56">
        <f t="shared" si="264"/>
        <v>2</v>
      </c>
      <c r="H64" s="102">
        <f>G64/F64</f>
        <v>1</v>
      </c>
      <c r="I64" s="106" t="s">
        <v>1038</v>
      </c>
      <c r="J64" s="86"/>
      <c r="K64" s="99" t="s">
        <v>1214</v>
      </c>
      <c r="L64" s="110" t="s">
        <v>1046</v>
      </c>
      <c r="M64" s="111" t="s">
        <v>1037</v>
      </c>
      <c r="N64" s="112">
        <v>2.0</v>
      </c>
      <c r="O64" s="113">
        <v>3.0</v>
      </c>
      <c r="P64" s="114">
        <f t="shared" ref="P64:Q64" si="265">N63+N64</f>
        <v>3</v>
      </c>
      <c r="Q64" s="114">
        <f t="shared" si="265"/>
        <v>4</v>
      </c>
      <c r="R64" s="115">
        <f t="shared" si="266"/>
        <v>1.333333333</v>
      </c>
      <c r="S64" s="116" t="s">
        <v>1038</v>
      </c>
      <c r="T64" s="92"/>
      <c r="U64" s="14" t="s">
        <v>1215</v>
      </c>
      <c r="V64" s="95" t="s">
        <v>1073</v>
      </c>
      <c r="W64" s="12" t="s">
        <v>1029</v>
      </c>
      <c r="X64" s="101">
        <v>1.0</v>
      </c>
      <c r="Y64" s="96">
        <v>3.0</v>
      </c>
      <c r="Z64" s="56">
        <f t="shared" ref="Z64:AA64" si="267">X64</f>
        <v>1</v>
      </c>
      <c r="AA64" s="56">
        <f t="shared" si="267"/>
        <v>3</v>
      </c>
      <c r="AB64" s="102">
        <f t="shared" si="261"/>
        <v>3</v>
      </c>
      <c r="AC64" s="106" t="s">
        <v>1031</v>
      </c>
      <c r="AD64" s="86"/>
    </row>
    <row r="65" ht="12.75" customHeight="1">
      <c r="A65" s="13" t="s">
        <v>1056</v>
      </c>
      <c r="D65" s="119">
        <f>SUM(D52:D64)</f>
        <v>17</v>
      </c>
      <c r="E65" s="14"/>
      <c r="F65" s="14"/>
      <c r="G65" s="14"/>
      <c r="H65" s="12"/>
      <c r="I65" s="103"/>
      <c r="J65" s="86"/>
      <c r="K65" s="99" t="s">
        <v>1214</v>
      </c>
      <c r="L65" s="95" t="s">
        <v>1028</v>
      </c>
      <c r="M65" s="12" t="s">
        <v>1029</v>
      </c>
      <c r="N65" s="101">
        <v>1.0</v>
      </c>
      <c r="O65" s="96">
        <v>1.0</v>
      </c>
      <c r="P65" s="56">
        <v>3.0</v>
      </c>
      <c r="Q65" s="56">
        <v>1.0</v>
      </c>
      <c r="R65" s="102">
        <f t="shared" si="266"/>
        <v>0.3333333333</v>
      </c>
      <c r="S65" s="106" t="s">
        <v>1031</v>
      </c>
      <c r="T65" s="92"/>
      <c r="U65" s="30" t="s">
        <v>1215</v>
      </c>
      <c r="V65" s="110" t="s">
        <v>1101</v>
      </c>
      <c r="W65" s="111" t="s">
        <v>1037</v>
      </c>
      <c r="X65" s="112">
        <v>2.0</v>
      </c>
      <c r="Y65" s="113">
        <v>3.0</v>
      </c>
      <c r="Z65" s="114">
        <f t="shared" ref="Z65:AA65" si="268">X64+X65</f>
        <v>3</v>
      </c>
      <c r="AA65" s="114">
        <f t="shared" si="268"/>
        <v>6</v>
      </c>
      <c r="AB65" s="115">
        <f t="shared" si="261"/>
        <v>2</v>
      </c>
      <c r="AC65" s="116" t="s">
        <v>1038</v>
      </c>
      <c r="AD65" s="86"/>
    </row>
    <row r="66" ht="12.75" customHeight="1">
      <c r="D66" s="14"/>
      <c r="E66" s="14"/>
      <c r="F66" s="14"/>
      <c r="G66" s="14"/>
      <c r="H66" s="12"/>
      <c r="I66" s="103"/>
      <c r="J66" s="86"/>
      <c r="K66" s="175" t="s">
        <v>1214</v>
      </c>
      <c r="L66" s="110" t="s">
        <v>1045</v>
      </c>
      <c r="M66" s="111" t="s">
        <v>1037</v>
      </c>
      <c r="N66" s="112">
        <v>2.0</v>
      </c>
      <c r="O66" s="113">
        <v>3.0</v>
      </c>
      <c r="P66" s="114">
        <f t="shared" ref="P66:Q66" si="269">N65+N66</f>
        <v>3</v>
      </c>
      <c r="Q66" s="114">
        <f t="shared" si="269"/>
        <v>4</v>
      </c>
      <c r="R66" s="115">
        <f t="shared" si="266"/>
        <v>1.333333333</v>
      </c>
      <c r="S66" s="116" t="s">
        <v>1038</v>
      </c>
      <c r="T66" s="92"/>
      <c r="U66" s="14" t="s">
        <v>232</v>
      </c>
      <c r="V66" s="95" t="s">
        <v>1073</v>
      </c>
      <c r="W66" s="12" t="s">
        <v>1029</v>
      </c>
      <c r="X66" s="101">
        <v>1.0</v>
      </c>
      <c r="Y66" s="96">
        <v>2.0</v>
      </c>
      <c r="Z66" s="56">
        <f t="shared" ref="Z66:AA66" si="270">X66</f>
        <v>1</v>
      </c>
      <c r="AA66" s="56">
        <f t="shared" si="270"/>
        <v>2</v>
      </c>
      <c r="AB66" s="102">
        <f t="shared" si="261"/>
        <v>2</v>
      </c>
      <c r="AC66" s="106" t="s">
        <v>1031</v>
      </c>
      <c r="AD66" s="86"/>
    </row>
    <row r="67" ht="12.75" customHeight="1">
      <c r="A67" s="99" t="s">
        <v>264</v>
      </c>
      <c r="B67" s="95" t="s">
        <v>1119</v>
      </c>
      <c r="C67" s="12" t="s">
        <v>1029</v>
      </c>
      <c r="D67" s="56">
        <v>0.0</v>
      </c>
      <c r="E67" s="96">
        <v>1.0</v>
      </c>
      <c r="F67" s="56">
        <f t="shared" ref="F67:G67" si="271">D67</f>
        <v>0</v>
      </c>
      <c r="G67" s="56">
        <f t="shared" si="271"/>
        <v>1</v>
      </c>
      <c r="H67" s="97">
        <f>G67</f>
        <v>1</v>
      </c>
      <c r="I67" s="98" t="s">
        <v>17</v>
      </c>
      <c r="J67" s="86"/>
      <c r="K67" s="99" t="s">
        <v>1214</v>
      </c>
      <c r="L67" s="95" t="s">
        <v>1070</v>
      </c>
      <c r="M67" s="12" t="s">
        <v>1029</v>
      </c>
      <c r="N67" s="101">
        <v>1.0</v>
      </c>
      <c r="O67" s="96">
        <v>1.0</v>
      </c>
      <c r="P67" s="56">
        <v>3.0</v>
      </c>
      <c r="Q67" s="56">
        <v>1.0</v>
      </c>
      <c r="R67" s="102">
        <f t="shared" si="266"/>
        <v>0.3333333333</v>
      </c>
      <c r="S67" s="106" t="s">
        <v>1031</v>
      </c>
      <c r="T67" s="92"/>
      <c r="U67" s="14" t="s">
        <v>232</v>
      </c>
      <c r="V67" s="95" t="s">
        <v>1101</v>
      </c>
      <c r="W67" s="12" t="s">
        <v>1037</v>
      </c>
      <c r="X67" s="101">
        <v>1.0</v>
      </c>
      <c r="Y67" s="96">
        <v>1.0</v>
      </c>
      <c r="Z67" s="56">
        <f t="shared" ref="Z67:AA67" si="272">X66+X67</f>
        <v>2</v>
      </c>
      <c r="AA67" s="56">
        <f t="shared" si="272"/>
        <v>3</v>
      </c>
      <c r="AB67" s="102">
        <f t="shared" si="261"/>
        <v>1.5</v>
      </c>
      <c r="AC67" s="106" t="s">
        <v>1031</v>
      </c>
      <c r="AD67" s="86"/>
    </row>
    <row r="68" ht="12.75" customHeight="1">
      <c r="A68" s="175" t="s">
        <v>264</v>
      </c>
      <c r="B68" s="110" t="s">
        <v>1061</v>
      </c>
      <c r="C68" s="111" t="s">
        <v>1037</v>
      </c>
      <c r="D68" s="112">
        <v>2.0</v>
      </c>
      <c r="E68" s="113">
        <v>1.0</v>
      </c>
      <c r="F68" s="111">
        <f t="shared" ref="F68:G68" si="273">D67+D68</f>
        <v>2</v>
      </c>
      <c r="G68" s="111">
        <f t="shared" si="273"/>
        <v>2</v>
      </c>
      <c r="H68" s="115">
        <f t="shared" ref="H68:H72" si="274">G68/F68</f>
        <v>1</v>
      </c>
      <c r="I68" s="116" t="s">
        <v>1038</v>
      </c>
      <c r="J68" s="86"/>
      <c r="K68" s="13" t="s">
        <v>1056</v>
      </c>
      <c r="N68" s="119">
        <f>SUM(N63:N67)</f>
        <v>7</v>
      </c>
      <c r="T68" s="92"/>
      <c r="U68" s="13" t="s">
        <v>1056</v>
      </c>
      <c r="X68" s="119">
        <f>SUM(X60:X67)</f>
        <v>9</v>
      </c>
      <c r="AD68" s="86"/>
    </row>
    <row r="69" ht="12.75" customHeight="1">
      <c r="A69" s="176" t="s">
        <v>261</v>
      </c>
      <c r="B69" s="120" t="s">
        <v>1073</v>
      </c>
      <c r="C69" s="121" t="s">
        <v>1029</v>
      </c>
      <c r="D69" s="147">
        <v>1.0</v>
      </c>
      <c r="E69" s="148">
        <v>1.0</v>
      </c>
      <c r="F69" s="124">
        <f>D69</f>
        <v>1</v>
      </c>
      <c r="G69" s="124">
        <v>1.0</v>
      </c>
      <c r="H69" s="125">
        <f t="shared" si="274"/>
        <v>1</v>
      </c>
      <c r="I69" s="126" t="s">
        <v>1031</v>
      </c>
      <c r="J69" s="86"/>
    </row>
    <row r="70" ht="12.75" customHeight="1">
      <c r="A70" s="175" t="s">
        <v>261</v>
      </c>
      <c r="B70" s="110" t="s">
        <v>1101</v>
      </c>
      <c r="C70" s="111" t="s">
        <v>1037</v>
      </c>
      <c r="D70" s="133">
        <v>1.0</v>
      </c>
      <c r="E70" s="134">
        <v>2.0</v>
      </c>
      <c r="F70" s="114">
        <f t="shared" ref="F70:G70" si="275">D69+D70</f>
        <v>2</v>
      </c>
      <c r="G70" s="114">
        <f t="shared" si="275"/>
        <v>3</v>
      </c>
      <c r="H70" s="115">
        <f t="shared" si="274"/>
        <v>1.5</v>
      </c>
      <c r="I70" s="116" t="s">
        <v>1031</v>
      </c>
      <c r="J70" s="86"/>
    </row>
    <row r="71" ht="12.75" customHeight="1">
      <c r="A71" s="99" t="s">
        <v>268</v>
      </c>
      <c r="B71" s="95" t="s">
        <v>1073</v>
      </c>
      <c r="C71" s="12" t="s">
        <v>1029</v>
      </c>
      <c r="D71" s="109">
        <v>1.0</v>
      </c>
      <c r="E71" s="105">
        <v>1.0</v>
      </c>
      <c r="F71" s="56">
        <f>D71</f>
        <v>1</v>
      </c>
      <c r="G71" s="56">
        <v>1.0</v>
      </c>
      <c r="H71" s="102">
        <f t="shared" si="274"/>
        <v>1</v>
      </c>
      <c r="I71" s="106" t="s">
        <v>1031</v>
      </c>
      <c r="J71" s="86"/>
    </row>
    <row r="72" ht="12.75" customHeight="1">
      <c r="A72" s="99" t="s">
        <v>268</v>
      </c>
      <c r="B72" s="95" t="s">
        <v>1101</v>
      </c>
      <c r="C72" s="12" t="s">
        <v>1037</v>
      </c>
      <c r="D72" s="109">
        <v>2.0</v>
      </c>
      <c r="E72" s="105">
        <v>2.0</v>
      </c>
      <c r="F72" s="56">
        <f t="shared" ref="F72:G72" si="276">D71+D72</f>
        <v>3</v>
      </c>
      <c r="G72" s="56">
        <f t="shared" si="276"/>
        <v>3</v>
      </c>
      <c r="H72" s="102">
        <f t="shared" si="274"/>
        <v>1</v>
      </c>
      <c r="I72" s="106" t="s">
        <v>1038</v>
      </c>
      <c r="J72" s="86"/>
    </row>
    <row r="73" ht="12.75" customHeight="1">
      <c r="A73" s="13" t="s">
        <v>1056</v>
      </c>
      <c r="D73" s="119">
        <f>SUM(D67:D72)</f>
        <v>7</v>
      </c>
      <c r="E73" s="14"/>
      <c r="F73" s="14"/>
      <c r="G73" s="14"/>
      <c r="H73" s="12"/>
      <c r="I73" s="18"/>
      <c r="J73" s="86"/>
    </row>
    <row r="74" ht="12.75" customHeight="1">
      <c r="D74" s="14"/>
      <c r="E74" s="14"/>
      <c r="F74" s="14"/>
      <c r="G74" s="14"/>
      <c r="H74" s="12"/>
      <c r="I74" s="18"/>
    </row>
    <row r="75" ht="12.75" customHeight="1">
      <c r="D75" s="14"/>
      <c r="E75" s="14"/>
      <c r="F75" s="14"/>
      <c r="G75" s="14"/>
      <c r="H75" s="12"/>
      <c r="I75" s="18"/>
    </row>
    <row r="76" ht="12.75" customHeight="1">
      <c r="D76" s="14"/>
      <c r="E76" s="14"/>
      <c r="F76" s="14"/>
      <c r="G76" s="14"/>
      <c r="H76" s="12"/>
      <c r="I76" s="18"/>
    </row>
    <row r="77" ht="12.75" customHeight="1">
      <c r="D77" s="14"/>
      <c r="E77" s="14"/>
      <c r="F77" s="14"/>
      <c r="G77" s="14"/>
      <c r="H77" s="12"/>
      <c r="I77" s="18"/>
      <c r="AD77" s="13"/>
    </row>
    <row r="78" ht="12.75" customHeight="1">
      <c r="D78" s="14"/>
      <c r="E78" s="14"/>
      <c r="F78" s="14"/>
      <c r="G78" s="14"/>
      <c r="H78" s="12"/>
      <c r="I78" s="18"/>
      <c r="T78" s="13"/>
      <c r="AD78" s="13"/>
    </row>
    <row r="79" ht="12.75" customHeight="1">
      <c r="D79" s="14"/>
      <c r="E79" s="14"/>
      <c r="F79" s="14"/>
      <c r="G79" s="14"/>
      <c r="H79" s="12"/>
      <c r="I79" s="18"/>
      <c r="T79" s="13"/>
      <c r="AD79" s="13"/>
    </row>
    <row r="80" ht="12.75" customHeight="1">
      <c r="D80" s="14"/>
      <c r="E80" s="14"/>
      <c r="F80" s="14"/>
      <c r="G80" s="14"/>
      <c r="H80" s="12"/>
      <c r="I80" s="18"/>
      <c r="T80" s="13"/>
      <c r="AD80" s="13"/>
    </row>
    <row r="81" ht="12.75" customHeight="1">
      <c r="D81" s="14"/>
      <c r="E81" s="14"/>
      <c r="F81" s="14"/>
      <c r="G81" s="14"/>
      <c r="H81" s="12"/>
      <c r="I81" s="18"/>
      <c r="T81" s="13"/>
      <c r="AD81" s="13"/>
    </row>
    <row r="82" ht="12.75" customHeight="1">
      <c r="D82" s="14"/>
      <c r="E82" s="14"/>
      <c r="F82" s="14"/>
      <c r="G82" s="14"/>
      <c r="H82" s="12"/>
      <c r="I82" s="18"/>
      <c r="T82" s="13"/>
      <c r="AD82" s="13"/>
    </row>
    <row r="83" ht="12.75" customHeight="1">
      <c r="D83" s="14"/>
      <c r="E83" s="14"/>
      <c r="F83" s="14"/>
      <c r="G83" s="14"/>
      <c r="H83" s="12"/>
      <c r="I83" s="18"/>
      <c r="T83" s="13"/>
      <c r="AD83" s="13"/>
    </row>
    <row r="84" ht="12.75" customHeight="1">
      <c r="D84" s="14"/>
      <c r="E84" s="14"/>
      <c r="F84" s="14"/>
      <c r="G84" s="14"/>
      <c r="H84" s="12"/>
      <c r="I84" s="18"/>
      <c r="T84" s="13"/>
      <c r="AD84" s="13"/>
    </row>
    <row r="85" ht="12.75" customHeight="1">
      <c r="D85" s="14"/>
      <c r="E85" s="14"/>
      <c r="F85" s="14"/>
      <c r="G85" s="14"/>
      <c r="H85" s="12"/>
      <c r="I85" s="18"/>
      <c r="T85" s="13"/>
      <c r="AD85" s="13"/>
    </row>
    <row r="86" ht="12.75" customHeight="1">
      <c r="D86" s="14"/>
      <c r="E86" s="14"/>
      <c r="F86" s="14"/>
      <c r="G86" s="14"/>
      <c r="H86" s="12"/>
      <c r="I86" s="18"/>
      <c r="T86" s="13"/>
      <c r="AD86" s="13"/>
    </row>
    <row r="87" ht="12.75" customHeight="1">
      <c r="D87" s="14"/>
      <c r="E87" s="14"/>
      <c r="F87" s="14"/>
      <c r="G87" s="14"/>
      <c r="H87" s="12"/>
      <c r="I87" s="18"/>
      <c r="T87" s="13"/>
      <c r="AD87" s="13"/>
    </row>
    <row r="88" ht="12.75" customHeight="1">
      <c r="D88" s="14"/>
      <c r="E88" s="14"/>
      <c r="F88" s="14"/>
      <c r="G88" s="14"/>
      <c r="H88" s="12"/>
      <c r="I88" s="18"/>
      <c r="T88" s="13"/>
      <c r="AD88" s="13"/>
    </row>
    <row r="89" ht="12.75" customHeight="1">
      <c r="D89" s="14"/>
      <c r="E89" s="14"/>
      <c r="F89" s="14"/>
      <c r="G89" s="14"/>
      <c r="H89" s="12"/>
      <c r="I89" s="18"/>
      <c r="T89" s="13"/>
      <c r="AD89" s="13"/>
    </row>
    <row r="90" ht="12.75" customHeight="1">
      <c r="D90" s="14"/>
      <c r="E90" s="14"/>
      <c r="F90" s="14"/>
      <c r="G90" s="14"/>
      <c r="H90" s="12"/>
      <c r="I90" s="18"/>
      <c r="T90" s="13"/>
      <c r="AD90" s="13"/>
    </row>
    <row r="91" ht="12.75" customHeight="1">
      <c r="D91" s="14"/>
      <c r="E91" s="14"/>
      <c r="F91" s="14"/>
      <c r="G91" s="14"/>
      <c r="H91" s="12"/>
      <c r="I91" s="18"/>
      <c r="T91" s="13"/>
      <c r="AD91" s="13"/>
    </row>
    <row r="92" ht="12.75" customHeight="1">
      <c r="D92" s="14"/>
      <c r="E92" s="14"/>
      <c r="F92" s="14"/>
      <c r="G92" s="14"/>
      <c r="H92" s="12"/>
      <c r="I92" s="18"/>
      <c r="T92" s="13"/>
      <c r="AD92" s="13"/>
    </row>
    <row r="93" ht="12.75" customHeight="1">
      <c r="D93" s="14"/>
      <c r="E93" s="14"/>
      <c r="F93" s="14"/>
      <c r="G93" s="14"/>
      <c r="H93" s="12"/>
      <c r="I93" s="18"/>
      <c r="T93" s="13"/>
      <c r="AD93" s="13"/>
    </row>
    <row r="94" ht="12.75" customHeight="1">
      <c r="D94" s="14"/>
      <c r="E94" s="14"/>
      <c r="F94" s="14"/>
      <c r="G94" s="14"/>
      <c r="H94" s="12"/>
      <c r="I94" s="18"/>
      <c r="T94" s="13"/>
      <c r="AD94" s="13"/>
    </row>
    <row r="95" ht="12.75" customHeight="1">
      <c r="D95" s="14"/>
      <c r="E95" s="14"/>
      <c r="F95" s="14"/>
      <c r="G95" s="14"/>
      <c r="H95" s="12"/>
      <c r="I95" s="18"/>
      <c r="T95" s="13"/>
      <c r="AD95" s="13"/>
    </row>
    <row r="96" ht="12.75" customHeight="1">
      <c r="D96" s="14"/>
      <c r="E96" s="14"/>
      <c r="F96" s="14"/>
      <c r="G96" s="14"/>
      <c r="H96" s="12"/>
      <c r="I96" s="18"/>
      <c r="T96" s="13"/>
      <c r="AD96" s="13"/>
    </row>
    <row r="97" ht="12.75" customHeight="1">
      <c r="D97" s="14"/>
      <c r="E97" s="14"/>
      <c r="F97" s="14"/>
      <c r="G97" s="14"/>
      <c r="H97" s="12"/>
      <c r="I97" s="18"/>
      <c r="T97" s="13"/>
      <c r="AD97" s="13"/>
    </row>
    <row r="98" ht="12.75" customHeight="1">
      <c r="D98" s="14"/>
      <c r="E98" s="14"/>
      <c r="F98" s="14"/>
      <c r="G98" s="14"/>
      <c r="H98" s="12"/>
      <c r="I98" s="18"/>
      <c r="T98" s="13"/>
      <c r="AD98" s="13"/>
    </row>
    <row r="99" ht="12.75" customHeight="1">
      <c r="D99" s="14"/>
      <c r="E99" s="14"/>
      <c r="F99" s="14"/>
      <c r="G99" s="14"/>
      <c r="H99" s="12"/>
      <c r="I99" s="18"/>
      <c r="T99" s="13"/>
      <c r="AD99" s="13"/>
    </row>
    <row r="100" ht="12.75" customHeight="1">
      <c r="D100" s="14"/>
      <c r="E100" s="14"/>
      <c r="F100" s="14"/>
      <c r="G100" s="14"/>
      <c r="H100" s="12"/>
      <c r="I100" s="18"/>
      <c r="T100" s="13"/>
      <c r="AD100" s="13"/>
    </row>
    <row r="101" ht="12.75" customHeight="1">
      <c r="D101" s="14"/>
      <c r="E101" s="14"/>
      <c r="F101" s="14"/>
      <c r="G101" s="14"/>
      <c r="H101" s="12"/>
      <c r="I101" s="18"/>
      <c r="T101" s="13"/>
      <c r="AD101" s="13"/>
    </row>
    <row r="102" ht="12.75" customHeight="1">
      <c r="D102" s="14"/>
      <c r="E102" s="14"/>
      <c r="F102" s="14"/>
      <c r="G102" s="14"/>
      <c r="H102" s="12"/>
      <c r="I102" s="18"/>
      <c r="T102" s="13"/>
      <c r="AD102" s="13"/>
    </row>
    <row r="103" ht="12.75" customHeight="1">
      <c r="D103" s="14"/>
      <c r="E103" s="14"/>
      <c r="F103" s="14"/>
      <c r="G103" s="14"/>
      <c r="H103" s="12"/>
      <c r="I103" s="18"/>
      <c r="T103" s="13"/>
      <c r="AD103" s="13"/>
    </row>
    <row r="104" ht="12.75" customHeight="1">
      <c r="D104" s="14"/>
      <c r="E104" s="14"/>
      <c r="F104" s="14"/>
      <c r="G104" s="14"/>
      <c r="H104" s="12"/>
      <c r="I104" s="18"/>
      <c r="T104" s="13"/>
      <c r="AD104" s="13"/>
    </row>
    <row r="105" ht="12.75" customHeight="1">
      <c r="D105" s="14"/>
      <c r="E105" s="14"/>
      <c r="F105" s="14"/>
      <c r="G105" s="14"/>
      <c r="H105" s="12"/>
      <c r="I105" s="18"/>
      <c r="T105" s="13"/>
      <c r="AD105" s="13"/>
    </row>
    <row r="106" ht="12.75" customHeight="1">
      <c r="D106" s="14"/>
      <c r="E106" s="14"/>
      <c r="F106" s="14"/>
      <c r="G106" s="14"/>
      <c r="H106" s="12"/>
      <c r="I106" s="18"/>
      <c r="T106" s="13"/>
      <c r="AD106" s="13"/>
    </row>
    <row r="107" ht="12.75" customHeight="1">
      <c r="D107" s="14"/>
      <c r="E107" s="14"/>
      <c r="F107" s="14"/>
      <c r="G107" s="14"/>
      <c r="H107" s="12"/>
      <c r="I107" s="18"/>
      <c r="T107" s="13"/>
      <c r="AD107" s="13"/>
    </row>
    <row r="108" ht="12.75" customHeight="1">
      <c r="D108" s="14"/>
      <c r="E108" s="14"/>
      <c r="F108" s="14"/>
      <c r="G108" s="14"/>
      <c r="H108" s="12"/>
      <c r="I108" s="18"/>
      <c r="T108" s="13"/>
      <c r="AD108" s="13"/>
    </row>
    <row r="109" ht="12.75" customHeight="1">
      <c r="D109" s="14"/>
      <c r="E109" s="14"/>
      <c r="F109" s="14"/>
      <c r="G109" s="14"/>
      <c r="H109" s="12"/>
      <c r="I109" s="18"/>
      <c r="T109" s="13"/>
      <c r="AD109" s="13"/>
    </row>
    <row r="110" ht="12.75" customHeight="1">
      <c r="D110" s="14"/>
      <c r="E110" s="14"/>
      <c r="F110" s="14"/>
      <c r="G110" s="14"/>
      <c r="H110" s="12"/>
      <c r="I110" s="18"/>
      <c r="T110" s="13"/>
      <c r="AD110" s="13"/>
    </row>
    <row r="111" ht="12.75" customHeight="1">
      <c r="D111" s="14"/>
      <c r="E111" s="14"/>
      <c r="F111" s="14"/>
      <c r="G111" s="14"/>
      <c r="H111" s="12"/>
      <c r="I111" s="18"/>
      <c r="T111" s="13"/>
      <c r="AD111" s="13"/>
    </row>
    <row r="112" ht="12.75" customHeight="1">
      <c r="D112" s="14"/>
      <c r="E112" s="14"/>
      <c r="F112" s="14"/>
      <c r="G112" s="14"/>
      <c r="H112" s="12"/>
      <c r="I112" s="18"/>
      <c r="T112" s="13"/>
      <c r="AD112" s="13"/>
    </row>
    <row r="113" ht="12.75" customHeight="1">
      <c r="D113" s="14"/>
      <c r="E113" s="14"/>
      <c r="F113" s="14"/>
      <c r="G113" s="14"/>
      <c r="H113" s="12"/>
      <c r="I113" s="18"/>
      <c r="T113" s="13"/>
      <c r="AD113" s="13"/>
    </row>
    <row r="114" ht="12.75" customHeight="1">
      <c r="D114" s="14"/>
      <c r="E114" s="14"/>
      <c r="F114" s="14"/>
      <c r="G114" s="14"/>
      <c r="H114" s="12"/>
      <c r="I114" s="18"/>
      <c r="T114" s="13"/>
      <c r="AD114" s="13"/>
    </row>
    <row r="115" ht="12.75" customHeight="1">
      <c r="D115" s="14"/>
      <c r="E115" s="14"/>
      <c r="F115" s="14"/>
      <c r="G115" s="14"/>
      <c r="H115" s="12"/>
      <c r="I115" s="18"/>
      <c r="T115" s="13"/>
      <c r="AD115" s="13"/>
    </row>
    <row r="116" ht="12.75" customHeight="1">
      <c r="D116" s="14"/>
      <c r="E116" s="14"/>
      <c r="F116" s="14"/>
      <c r="G116" s="14"/>
      <c r="H116" s="12"/>
      <c r="I116" s="18"/>
      <c r="T116" s="13"/>
      <c r="AD116" s="13"/>
    </row>
    <row r="117" ht="12.75" customHeight="1">
      <c r="D117" s="14"/>
      <c r="E117" s="14"/>
      <c r="F117" s="14"/>
      <c r="G117" s="14"/>
      <c r="H117" s="12"/>
      <c r="I117" s="18"/>
      <c r="T117" s="13"/>
      <c r="AD117" s="13"/>
    </row>
    <row r="118" ht="12.75" customHeight="1">
      <c r="D118" s="14"/>
      <c r="E118" s="14"/>
      <c r="F118" s="14"/>
      <c r="G118" s="14"/>
      <c r="H118" s="12"/>
      <c r="I118" s="18"/>
      <c r="T118" s="13"/>
      <c r="AD118" s="13"/>
    </row>
    <row r="119" ht="12.75" customHeight="1">
      <c r="D119" s="14"/>
      <c r="E119" s="14"/>
      <c r="F119" s="14"/>
      <c r="G119" s="14"/>
      <c r="H119" s="12"/>
      <c r="I119" s="18"/>
      <c r="T119" s="13"/>
      <c r="AD119" s="13"/>
    </row>
    <row r="120" ht="12.75" customHeight="1">
      <c r="D120" s="14"/>
      <c r="E120" s="14"/>
      <c r="F120" s="14"/>
      <c r="G120" s="14"/>
      <c r="H120" s="12"/>
      <c r="I120" s="18"/>
      <c r="T120" s="13"/>
      <c r="AD120" s="13"/>
    </row>
    <row r="121" ht="12.75" customHeight="1">
      <c r="D121" s="14"/>
      <c r="E121" s="14"/>
      <c r="F121" s="14"/>
      <c r="G121" s="14"/>
      <c r="H121" s="12"/>
      <c r="I121" s="18"/>
      <c r="T121" s="13"/>
      <c r="AD121" s="13"/>
    </row>
    <row r="122" ht="12.75" customHeight="1">
      <c r="D122" s="14"/>
      <c r="E122" s="14"/>
      <c r="F122" s="14"/>
      <c r="G122" s="14"/>
      <c r="H122" s="12"/>
      <c r="I122" s="18"/>
      <c r="T122" s="13"/>
      <c r="AD122" s="13"/>
    </row>
    <row r="123" ht="12.75" customHeight="1">
      <c r="D123" s="14"/>
      <c r="E123" s="14"/>
      <c r="F123" s="14"/>
      <c r="G123" s="14"/>
      <c r="H123" s="12"/>
      <c r="I123" s="18"/>
      <c r="T123" s="13"/>
      <c r="AD123" s="13"/>
    </row>
    <row r="124" ht="12.75" customHeight="1">
      <c r="D124" s="14"/>
      <c r="E124" s="14"/>
      <c r="F124" s="14"/>
      <c r="G124" s="14"/>
      <c r="H124" s="12"/>
      <c r="I124" s="18"/>
      <c r="T124" s="13"/>
      <c r="AD124" s="13"/>
    </row>
    <row r="125" ht="12.75" customHeight="1">
      <c r="D125" s="14"/>
      <c r="E125" s="14"/>
      <c r="F125" s="14"/>
      <c r="G125" s="14"/>
      <c r="H125" s="12"/>
      <c r="I125" s="18"/>
      <c r="T125" s="13"/>
      <c r="AD125" s="13"/>
    </row>
    <row r="126" ht="12.75" customHeight="1">
      <c r="D126" s="14"/>
      <c r="E126" s="14"/>
      <c r="F126" s="14"/>
      <c r="G126" s="14"/>
      <c r="H126" s="12"/>
      <c r="I126" s="18"/>
      <c r="T126" s="13"/>
      <c r="AD126" s="13"/>
    </row>
    <row r="127" ht="12.75" customHeight="1">
      <c r="D127" s="14"/>
      <c r="E127" s="14"/>
      <c r="F127" s="14"/>
      <c r="G127" s="14"/>
      <c r="H127" s="12"/>
      <c r="I127" s="18"/>
      <c r="T127" s="13"/>
      <c r="AD127" s="13"/>
    </row>
    <row r="128" ht="12.75" customHeight="1">
      <c r="D128" s="14"/>
      <c r="E128" s="14"/>
      <c r="F128" s="14"/>
      <c r="G128" s="14"/>
      <c r="H128" s="12"/>
      <c r="I128" s="18"/>
      <c r="T128" s="13"/>
      <c r="AD128" s="13"/>
    </row>
    <row r="129" ht="12.75" customHeight="1">
      <c r="D129" s="14"/>
      <c r="E129" s="14"/>
      <c r="F129" s="14"/>
      <c r="G129" s="14"/>
      <c r="H129" s="12"/>
      <c r="I129" s="18"/>
      <c r="T129" s="13"/>
      <c r="AD129" s="13"/>
    </row>
    <row r="130" ht="12.75" customHeight="1">
      <c r="D130" s="14"/>
      <c r="E130" s="14"/>
      <c r="F130" s="14"/>
      <c r="G130" s="14"/>
      <c r="H130" s="12"/>
      <c r="I130" s="18"/>
      <c r="T130" s="13"/>
      <c r="AD130" s="13"/>
    </row>
    <row r="131" ht="12.75" customHeight="1">
      <c r="D131" s="14"/>
      <c r="E131" s="14"/>
      <c r="F131" s="14"/>
      <c r="G131" s="14"/>
      <c r="H131" s="12"/>
      <c r="I131" s="18"/>
      <c r="T131" s="13"/>
      <c r="AD131" s="13"/>
    </row>
    <row r="132" ht="12.75" customHeight="1">
      <c r="D132" s="14"/>
      <c r="E132" s="14"/>
      <c r="F132" s="14"/>
      <c r="G132" s="14"/>
      <c r="H132" s="12"/>
      <c r="I132" s="18"/>
      <c r="T132" s="13"/>
      <c r="AD132" s="13"/>
    </row>
    <row r="133" ht="12.75" customHeight="1">
      <c r="D133" s="14"/>
      <c r="E133" s="14"/>
      <c r="F133" s="14"/>
      <c r="G133" s="14"/>
      <c r="H133" s="12"/>
      <c r="I133" s="18"/>
      <c r="T133" s="13"/>
      <c r="AD133" s="13"/>
    </row>
    <row r="134" ht="12.75" customHeight="1">
      <c r="D134" s="14"/>
      <c r="E134" s="14"/>
      <c r="F134" s="14"/>
      <c r="G134" s="14"/>
      <c r="H134" s="12"/>
      <c r="I134" s="18"/>
      <c r="T134" s="13"/>
      <c r="AD134" s="13"/>
    </row>
    <row r="135" ht="12.75" customHeight="1">
      <c r="D135" s="14"/>
      <c r="E135" s="14"/>
      <c r="F135" s="14"/>
      <c r="G135" s="14"/>
      <c r="H135" s="12"/>
      <c r="I135" s="18"/>
      <c r="T135" s="13"/>
      <c r="AD135" s="13"/>
    </row>
    <row r="136" ht="12.75" customHeight="1">
      <c r="D136" s="14"/>
      <c r="E136" s="14"/>
      <c r="F136" s="14"/>
      <c r="G136" s="14"/>
      <c r="H136" s="12"/>
      <c r="I136" s="18"/>
      <c r="T136" s="13"/>
      <c r="AD136" s="13"/>
    </row>
    <row r="137" ht="12.75" customHeight="1">
      <c r="D137" s="14"/>
      <c r="E137" s="14"/>
      <c r="F137" s="14"/>
      <c r="G137" s="14"/>
      <c r="H137" s="12"/>
      <c r="I137" s="18"/>
      <c r="T137" s="13"/>
      <c r="AD137" s="13"/>
    </row>
    <row r="138" ht="12.75" customHeight="1">
      <c r="D138" s="14"/>
      <c r="E138" s="14"/>
      <c r="F138" s="14"/>
      <c r="G138" s="14"/>
      <c r="H138" s="12"/>
      <c r="I138" s="18"/>
      <c r="T138" s="13"/>
      <c r="AD138" s="13"/>
    </row>
    <row r="139" ht="12.75" customHeight="1">
      <c r="D139" s="14"/>
      <c r="E139" s="14"/>
      <c r="F139" s="14"/>
      <c r="G139" s="14"/>
      <c r="H139" s="12"/>
      <c r="I139" s="18"/>
      <c r="T139" s="13"/>
      <c r="AD139" s="13"/>
    </row>
    <row r="140" ht="12.75" customHeight="1">
      <c r="D140" s="14"/>
      <c r="E140" s="14"/>
      <c r="F140" s="14"/>
      <c r="G140" s="14"/>
      <c r="H140" s="12"/>
      <c r="I140" s="18"/>
      <c r="T140" s="13"/>
      <c r="AD140" s="13"/>
    </row>
    <row r="141" ht="12.75" customHeight="1">
      <c r="D141" s="14"/>
      <c r="E141" s="14"/>
      <c r="F141" s="14"/>
      <c r="G141" s="14"/>
      <c r="H141" s="12"/>
      <c r="I141" s="18"/>
      <c r="T141" s="13"/>
      <c r="AD141" s="13"/>
    </row>
    <row r="142" ht="12.75" customHeight="1">
      <c r="D142" s="14"/>
      <c r="E142" s="14"/>
      <c r="F142" s="14"/>
      <c r="G142" s="14"/>
      <c r="H142" s="12"/>
      <c r="I142" s="18"/>
      <c r="T142" s="13"/>
      <c r="AD142" s="13"/>
    </row>
    <row r="143" ht="12.75" customHeight="1">
      <c r="D143" s="14"/>
      <c r="E143" s="14"/>
      <c r="F143" s="14"/>
      <c r="G143" s="14"/>
      <c r="H143" s="12"/>
      <c r="I143" s="18"/>
      <c r="T143" s="13"/>
      <c r="AD143" s="13"/>
    </row>
    <row r="144" ht="12.75" customHeight="1">
      <c r="D144" s="14"/>
      <c r="E144" s="14"/>
      <c r="F144" s="14"/>
      <c r="G144" s="14"/>
      <c r="H144" s="12"/>
      <c r="I144" s="18"/>
      <c r="T144" s="13"/>
      <c r="AD144" s="13"/>
    </row>
    <row r="145" ht="12.75" customHeight="1">
      <c r="D145" s="14"/>
      <c r="E145" s="14"/>
      <c r="F145" s="14"/>
      <c r="G145" s="14"/>
      <c r="H145" s="12"/>
      <c r="I145" s="18"/>
      <c r="T145" s="13"/>
      <c r="AD145" s="13"/>
    </row>
    <row r="146" ht="12.75" customHeight="1">
      <c r="D146" s="14"/>
      <c r="E146" s="14"/>
      <c r="F146" s="14"/>
      <c r="G146" s="14"/>
      <c r="H146" s="12"/>
      <c r="I146" s="18"/>
      <c r="T146" s="13"/>
      <c r="AD146" s="13"/>
    </row>
    <row r="147" ht="12.75" customHeight="1">
      <c r="D147" s="14"/>
      <c r="E147" s="14"/>
      <c r="F147" s="14"/>
      <c r="G147" s="14"/>
      <c r="H147" s="12"/>
      <c r="I147" s="18"/>
      <c r="T147" s="13"/>
      <c r="AD147" s="13"/>
    </row>
    <row r="148" ht="12.75" customHeight="1">
      <c r="D148" s="14"/>
      <c r="E148" s="14"/>
      <c r="F148" s="14"/>
      <c r="G148" s="14"/>
      <c r="H148" s="12"/>
      <c r="I148" s="18"/>
      <c r="T148" s="13"/>
      <c r="AD148" s="13"/>
    </row>
    <row r="149" ht="12.75" customHeight="1">
      <c r="D149" s="14"/>
      <c r="E149" s="14"/>
      <c r="F149" s="14"/>
      <c r="G149" s="14"/>
      <c r="H149" s="12"/>
      <c r="I149" s="18"/>
      <c r="T149" s="13"/>
      <c r="AD149" s="13"/>
    </row>
    <row r="150" ht="12.75" customHeight="1">
      <c r="D150" s="14"/>
      <c r="E150" s="14"/>
      <c r="F150" s="14"/>
      <c r="G150" s="14"/>
      <c r="H150" s="12"/>
      <c r="I150" s="18"/>
      <c r="T150" s="13"/>
      <c r="AD150" s="13"/>
    </row>
    <row r="151" ht="12.75" customHeight="1">
      <c r="D151" s="14"/>
      <c r="E151" s="14"/>
      <c r="F151" s="14"/>
      <c r="G151" s="14"/>
      <c r="H151" s="12"/>
      <c r="I151" s="18"/>
      <c r="T151" s="13"/>
      <c r="AD151" s="13"/>
    </row>
    <row r="152" ht="12.75" customHeight="1">
      <c r="D152" s="14"/>
      <c r="E152" s="14"/>
      <c r="F152" s="14"/>
      <c r="G152" s="14"/>
      <c r="H152" s="12"/>
      <c r="I152" s="18"/>
      <c r="T152" s="13"/>
      <c r="AD152" s="13"/>
    </row>
    <row r="153" ht="12.75" customHeight="1">
      <c r="D153" s="14"/>
      <c r="E153" s="14"/>
      <c r="F153" s="14"/>
      <c r="G153" s="14"/>
      <c r="H153" s="12"/>
      <c r="I153" s="18"/>
      <c r="T153" s="13"/>
      <c r="AD153" s="13"/>
    </row>
    <row r="154" ht="12.75" customHeight="1">
      <c r="D154" s="14"/>
      <c r="E154" s="14"/>
      <c r="F154" s="14"/>
      <c r="G154" s="14"/>
      <c r="H154" s="12"/>
      <c r="I154" s="18"/>
      <c r="T154" s="13"/>
      <c r="AD154" s="13"/>
    </row>
    <row r="155" ht="12.75" customHeight="1">
      <c r="D155" s="14"/>
      <c r="E155" s="14"/>
      <c r="F155" s="14"/>
      <c r="G155" s="14"/>
      <c r="H155" s="12"/>
      <c r="I155" s="18"/>
      <c r="T155" s="13"/>
      <c r="AD155" s="13"/>
    </row>
    <row r="156" ht="12.75" customHeight="1">
      <c r="D156" s="14"/>
      <c r="E156" s="14"/>
      <c r="F156" s="14"/>
      <c r="G156" s="14"/>
      <c r="H156" s="12"/>
      <c r="I156" s="18"/>
      <c r="T156" s="13"/>
      <c r="AD156" s="13"/>
    </row>
    <row r="157" ht="12.75" customHeight="1">
      <c r="D157" s="14"/>
      <c r="E157" s="14"/>
      <c r="F157" s="14"/>
      <c r="G157" s="14"/>
      <c r="H157" s="12"/>
      <c r="I157" s="18"/>
      <c r="T157" s="13"/>
      <c r="AD157" s="13"/>
    </row>
    <row r="158" ht="12.75" customHeight="1">
      <c r="D158" s="14"/>
      <c r="E158" s="14"/>
      <c r="F158" s="14"/>
      <c r="G158" s="14"/>
      <c r="H158" s="12"/>
      <c r="I158" s="18"/>
      <c r="T158" s="13"/>
      <c r="AD158" s="13"/>
    </row>
    <row r="159" ht="12.75" customHeight="1">
      <c r="D159" s="14"/>
      <c r="E159" s="14"/>
      <c r="F159" s="14"/>
      <c r="G159" s="14"/>
      <c r="H159" s="12"/>
      <c r="I159" s="18"/>
      <c r="T159" s="13"/>
      <c r="AD159" s="13"/>
    </row>
    <row r="160" ht="12.75" customHeight="1">
      <c r="D160" s="14"/>
      <c r="E160" s="14"/>
      <c r="F160" s="14"/>
      <c r="G160" s="14"/>
      <c r="H160" s="12"/>
      <c r="I160" s="18"/>
      <c r="T160" s="13"/>
      <c r="AD160" s="13"/>
    </row>
    <row r="161" ht="12.75" customHeight="1">
      <c r="D161" s="14"/>
      <c r="E161" s="14"/>
      <c r="F161" s="14"/>
      <c r="G161" s="14"/>
      <c r="H161" s="12"/>
      <c r="I161" s="18"/>
      <c r="T161" s="13"/>
      <c r="AD161" s="13"/>
    </row>
    <row r="162" ht="12.75" customHeight="1">
      <c r="D162" s="14"/>
      <c r="E162" s="14"/>
      <c r="F162" s="14"/>
      <c r="G162" s="14"/>
      <c r="H162" s="12"/>
      <c r="I162" s="18"/>
      <c r="T162" s="13"/>
      <c r="AD162" s="13"/>
    </row>
    <row r="163" ht="12.75" customHeight="1">
      <c r="D163" s="14"/>
      <c r="E163" s="14"/>
      <c r="F163" s="14"/>
      <c r="G163" s="14"/>
      <c r="H163" s="12"/>
      <c r="I163" s="18"/>
      <c r="T163" s="13"/>
      <c r="AD163" s="13"/>
    </row>
    <row r="164" ht="12.75" customHeight="1">
      <c r="D164" s="14"/>
      <c r="E164" s="14"/>
      <c r="F164" s="14"/>
      <c r="G164" s="14"/>
      <c r="H164" s="12"/>
      <c r="I164" s="18"/>
      <c r="T164" s="13"/>
      <c r="AD164" s="13"/>
    </row>
    <row r="165" ht="12.75" customHeight="1">
      <c r="D165" s="14"/>
      <c r="E165" s="14"/>
      <c r="F165" s="14"/>
      <c r="G165" s="14"/>
      <c r="H165" s="12"/>
      <c r="I165" s="18"/>
      <c r="T165" s="13"/>
      <c r="AD165" s="13"/>
    </row>
    <row r="166" ht="12.75" customHeight="1">
      <c r="D166" s="14"/>
      <c r="E166" s="14"/>
      <c r="F166" s="14"/>
      <c r="G166" s="14"/>
      <c r="H166" s="12"/>
      <c r="I166" s="18"/>
      <c r="T166" s="13"/>
      <c r="AD166" s="13"/>
    </row>
    <row r="167" ht="12.75" customHeight="1">
      <c r="D167" s="14"/>
      <c r="E167" s="14"/>
      <c r="F167" s="14"/>
      <c r="G167" s="14"/>
      <c r="H167" s="12"/>
      <c r="I167" s="18"/>
      <c r="T167" s="13"/>
      <c r="AD167" s="13"/>
    </row>
    <row r="168" ht="12.75" customHeight="1">
      <c r="D168" s="14"/>
      <c r="E168" s="14"/>
      <c r="F168" s="14"/>
      <c r="G168" s="14"/>
      <c r="H168" s="12"/>
      <c r="I168" s="18"/>
      <c r="T168" s="13"/>
      <c r="AD168" s="13"/>
    </row>
    <row r="169" ht="12.75" customHeight="1">
      <c r="D169" s="14"/>
      <c r="E169" s="14"/>
      <c r="F169" s="14"/>
      <c r="G169" s="14"/>
      <c r="H169" s="12"/>
      <c r="I169" s="18"/>
      <c r="T169" s="13"/>
      <c r="AD169" s="13"/>
    </row>
    <row r="170" ht="12.75" customHeight="1">
      <c r="D170" s="14"/>
      <c r="E170" s="14"/>
      <c r="F170" s="14"/>
      <c r="G170" s="14"/>
      <c r="H170" s="12"/>
      <c r="I170" s="18"/>
      <c r="T170" s="13"/>
      <c r="AD170" s="13"/>
    </row>
    <row r="171" ht="12.75" customHeight="1">
      <c r="D171" s="14"/>
      <c r="E171" s="14"/>
      <c r="F171" s="14"/>
      <c r="G171" s="14"/>
      <c r="H171" s="12"/>
      <c r="I171" s="18"/>
      <c r="T171" s="13"/>
      <c r="AD171" s="13"/>
    </row>
    <row r="172" ht="12.75" customHeight="1">
      <c r="D172" s="14"/>
      <c r="E172" s="14"/>
      <c r="F172" s="14"/>
      <c r="G172" s="14"/>
      <c r="H172" s="12"/>
      <c r="I172" s="18"/>
      <c r="T172" s="13"/>
      <c r="AD172" s="13"/>
    </row>
    <row r="173" ht="12.75" customHeight="1">
      <c r="D173" s="14"/>
      <c r="E173" s="14"/>
      <c r="F173" s="14"/>
      <c r="G173" s="14"/>
      <c r="H173" s="12"/>
      <c r="I173" s="18"/>
      <c r="T173" s="13"/>
      <c r="AD173" s="13"/>
    </row>
    <row r="174" ht="12.75" customHeight="1">
      <c r="D174" s="14"/>
      <c r="E174" s="14"/>
      <c r="F174" s="14"/>
      <c r="G174" s="14"/>
      <c r="H174" s="12"/>
      <c r="I174" s="18"/>
      <c r="T174" s="13"/>
      <c r="AD174" s="13"/>
    </row>
    <row r="175" ht="12.75" customHeight="1">
      <c r="D175" s="14"/>
      <c r="E175" s="14"/>
      <c r="F175" s="14"/>
      <c r="G175" s="14"/>
      <c r="H175" s="12"/>
      <c r="I175" s="18"/>
      <c r="T175" s="13"/>
      <c r="AD175" s="13"/>
    </row>
    <row r="176" ht="12.75" customHeight="1">
      <c r="D176" s="14"/>
      <c r="E176" s="14"/>
      <c r="F176" s="14"/>
      <c r="G176" s="14"/>
      <c r="H176" s="12"/>
      <c r="I176" s="18"/>
      <c r="T176" s="13"/>
      <c r="AD176" s="13"/>
    </row>
    <row r="177" ht="12.75" customHeight="1">
      <c r="D177" s="14"/>
      <c r="E177" s="14"/>
      <c r="F177" s="14"/>
      <c r="G177" s="14"/>
      <c r="H177" s="12"/>
      <c r="I177" s="18"/>
      <c r="T177" s="13"/>
      <c r="AD177" s="13"/>
    </row>
    <row r="178" ht="12.75" customHeight="1">
      <c r="D178" s="14"/>
      <c r="E178" s="14"/>
      <c r="F178" s="14"/>
      <c r="G178" s="14"/>
      <c r="H178" s="12"/>
      <c r="I178" s="18"/>
      <c r="T178" s="13"/>
      <c r="AD178" s="13"/>
    </row>
    <row r="179" ht="12.75" customHeight="1">
      <c r="D179" s="14"/>
      <c r="E179" s="14"/>
      <c r="F179" s="14"/>
      <c r="G179" s="14"/>
      <c r="H179" s="12"/>
      <c r="I179" s="18"/>
      <c r="T179" s="13"/>
      <c r="AD179" s="13"/>
    </row>
    <row r="180" ht="12.75" customHeight="1">
      <c r="D180" s="14"/>
      <c r="E180" s="14"/>
      <c r="F180" s="14"/>
      <c r="G180" s="14"/>
      <c r="H180" s="12"/>
      <c r="I180" s="18"/>
      <c r="T180" s="13"/>
      <c r="AD180" s="13"/>
    </row>
    <row r="181" ht="12.75" customHeight="1">
      <c r="D181" s="14"/>
      <c r="E181" s="14"/>
      <c r="F181" s="14"/>
      <c r="G181" s="14"/>
      <c r="H181" s="12"/>
      <c r="I181" s="18"/>
      <c r="T181" s="13"/>
      <c r="AD181" s="13"/>
    </row>
    <row r="182" ht="12.75" customHeight="1">
      <c r="D182" s="14"/>
      <c r="E182" s="14"/>
      <c r="F182" s="14"/>
      <c r="G182" s="14"/>
      <c r="H182" s="12"/>
      <c r="I182" s="18"/>
      <c r="T182" s="13"/>
      <c r="AD182" s="13"/>
    </row>
    <row r="183" ht="12.75" customHeight="1">
      <c r="D183" s="14"/>
      <c r="E183" s="14"/>
      <c r="F183" s="14"/>
      <c r="G183" s="14"/>
      <c r="H183" s="12"/>
      <c r="I183" s="18"/>
      <c r="T183" s="13"/>
      <c r="AD183" s="13"/>
    </row>
    <row r="184" ht="12.75" customHeight="1">
      <c r="D184" s="14"/>
      <c r="E184" s="14"/>
      <c r="F184" s="14"/>
      <c r="G184" s="14"/>
      <c r="H184" s="12"/>
      <c r="I184" s="18"/>
      <c r="T184" s="13"/>
      <c r="AD184" s="13"/>
    </row>
    <row r="185" ht="12.75" customHeight="1">
      <c r="D185" s="14"/>
      <c r="E185" s="14"/>
      <c r="F185" s="14"/>
      <c r="G185" s="14"/>
      <c r="H185" s="12"/>
      <c r="I185" s="18"/>
      <c r="T185" s="13"/>
      <c r="AD185" s="13"/>
    </row>
    <row r="186" ht="12.75" customHeight="1">
      <c r="D186" s="14"/>
      <c r="E186" s="14"/>
      <c r="F186" s="14"/>
      <c r="G186" s="14"/>
      <c r="H186" s="12"/>
      <c r="I186" s="18"/>
      <c r="T186" s="13"/>
      <c r="AD186" s="13"/>
    </row>
    <row r="187" ht="12.75" customHeight="1">
      <c r="D187" s="14"/>
      <c r="E187" s="14"/>
      <c r="F187" s="14"/>
      <c r="G187" s="14"/>
      <c r="H187" s="12"/>
      <c r="I187" s="18"/>
      <c r="T187" s="13"/>
      <c r="AD187" s="13"/>
    </row>
    <row r="188" ht="12.75" customHeight="1">
      <c r="D188" s="14"/>
      <c r="E188" s="14"/>
      <c r="F188" s="14"/>
      <c r="G188" s="14"/>
      <c r="H188" s="12"/>
      <c r="I188" s="18"/>
      <c r="T188" s="13"/>
      <c r="AD188" s="13"/>
    </row>
    <row r="189" ht="12.75" customHeight="1">
      <c r="D189" s="14"/>
      <c r="E189" s="14"/>
      <c r="F189" s="14"/>
      <c r="G189" s="14"/>
      <c r="H189" s="12"/>
      <c r="I189" s="18"/>
      <c r="T189" s="13"/>
      <c r="AD189" s="13"/>
    </row>
    <row r="190" ht="12.75" customHeight="1">
      <c r="D190" s="14"/>
      <c r="E190" s="14"/>
      <c r="F190" s="14"/>
      <c r="G190" s="14"/>
      <c r="H190" s="12"/>
      <c r="I190" s="18"/>
      <c r="T190" s="13"/>
      <c r="AD190" s="13"/>
    </row>
    <row r="191" ht="12.75" customHeight="1">
      <c r="D191" s="14"/>
      <c r="E191" s="14"/>
      <c r="F191" s="14"/>
      <c r="G191" s="14"/>
      <c r="H191" s="12"/>
      <c r="I191" s="18"/>
      <c r="T191" s="13"/>
      <c r="AD191" s="13"/>
    </row>
    <row r="192" ht="12.75" customHeight="1">
      <c r="D192" s="14"/>
      <c r="E192" s="14"/>
      <c r="F192" s="14"/>
      <c r="G192" s="14"/>
      <c r="H192" s="12"/>
      <c r="I192" s="18"/>
      <c r="T192" s="13"/>
      <c r="AD192" s="13"/>
    </row>
    <row r="193" ht="12.75" customHeight="1">
      <c r="D193" s="14"/>
      <c r="E193" s="14"/>
      <c r="F193" s="14"/>
      <c r="G193" s="14"/>
      <c r="H193" s="12"/>
      <c r="I193" s="18"/>
      <c r="T193" s="13"/>
      <c r="AD193" s="13"/>
    </row>
    <row r="194" ht="12.75" customHeight="1">
      <c r="D194" s="14"/>
      <c r="E194" s="14"/>
      <c r="F194" s="14"/>
      <c r="G194" s="14"/>
      <c r="H194" s="12"/>
      <c r="I194" s="18"/>
      <c r="T194" s="13"/>
      <c r="AD194" s="13"/>
    </row>
    <row r="195" ht="12.75" customHeight="1">
      <c r="D195" s="14"/>
      <c r="E195" s="14"/>
      <c r="F195" s="14"/>
      <c r="G195" s="14"/>
      <c r="H195" s="12"/>
      <c r="I195" s="18"/>
      <c r="T195" s="13"/>
      <c r="AD195" s="13"/>
    </row>
    <row r="196" ht="12.75" customHeight="1">
      <c r="D196" s="14"/>
      <c r="E196" s="14"/>
      <c r="F196" s="14"/>
      <c r="G196" s="14"/>
      <c r="H196" s="12"/>
      <c r="I196" s="18"/>
      <c r="T196" s="13"/>
      <c r="AD196" s="13"/>
    </row>
    <row r="197" ht="12.75" customHeight="1">
      <c r="D197" s="14"/>
      <c r="E197" s="14"/>
      <c r="F197" s="14"/>
      <c r="G197" s="14"/>
      <c r="H197" s="12"/>
      <c r="I197" s="18"/>
      <c r="T197" s="13"/>
      <c r="AD197" s="13"/>
    </row>
    <row r="198" ht="12.75" customHeight="1">
      <c r="D198" s="14"/>
      <c r="E198" s="14"/>
      <c r="F198" s="14"/>
      <c r="G198" s="14"/>
      <c r="H198" s="12"/>
      <c r="I198" s="18"/>
      <c r="T198" s="13"/>
      <c r="AD198" s="13"/>
    </row>
    <row r="199" ht="12.75" customHeight="1">
      <c r="D199" s="14"/>
      <c r="E199" s="14"/>
      <c r="F199" s="14"/>
      <c r="G199" s="14"/>
      <c r="H199" s="12"/>
      <c r="I199" s="18"/>
      <c r="T199" s="13"/>
      <c r="AD199" s="13"/>
    </row>
    <row r="200" ht="12.75" customHeight="1">
      <c r="D200" s="14"/>
      <c r="E200" s="14"/>
      <c r="F200" s="14"/>
      <c r="G200" s="14"/>
      <c r="H200" s="12"/>
      <c r="I200" s="18"/>
      <c r="T200" s="13"/>
      <c r="AD200" s="13"/>
    </row>
    <row r="201" ht="12.75" customHeight="1">
      <c r="D201" s="14"/>
      <c r="E201" s="14"/>
      <c r="F201" s="14"/>
      <c r="G201" s="14"/>
      <c r="H201" s="12"/>
      <c r="I201" s="18"/>
      <c r="T201" s="13"/>
      <c r="AD201" s="13"/>
    </row>
    <row r="202" ht="12.75" customHeight="1">
      <c r="D202" s="14"/>
      <c r="E202" s="14"/>
      <c r="F202" s="14"/>
      <c r="G202" s="14"/>
      <c r="H202" s="12"/>
      <c r="I202" s="18"/>
      <c r="T202" s="13"/>
      <c r="AD202" s="13"/>
    </row>
    <row r="203" ht="12.75" customHeight="1">
      <c r="D203" s="14"/>
      <c r="E203" s="14"/>
      <c r="F203" s="14"/>
      <c r="G203" s="14"/>
      <c r="H203" s="12"/>
      <c r="I203" s="18"/>
      <c r="T203" s="13"/>
      <c r="AD203" s="13"/>
    </row>
    <row r="204" ht="12.75" customHeight="1">
      <c r="D204" s="14"/>
      <c r="E204" s="14"/>
      <c r="F204" s="14"/>
      <c r="G204" s="14"/>
      <c r="H204" s="12"/>
      <c r="I204" s="18"/>
      <c r="T204" s="13"/>
      <c r="AD204" s="13"/>
    </row>
    <row r="205" ht="12.75" customHeight="1">
      <c r="D205" s="14"/>
      <c r="E205" s="14"/>
      <c r="F205" s="14"/>
      <c r="G205" s="14"/>
      <c r="H205" s="12"/>
      <c r="I205" s="18"/>
      <c r="T205" s="13"/>
      <c r="AD205" s="13"/>
    </row>
    <row r="206" ht="12.75" customHeight="1">
      <c r="D206" s="14"/>
      <c r="E206" s="14"/>
      <c r="F206" s="14"/>
      <c r="G206" s="14"/>
      <c r="H206" s="12"/>
      <c r="I206" s="18"/>
      <c r="T206" s="13"/>
      <c r="AD206" s="13"/>
    </row>
    <row r="207" ht="12.75" customHeight="1">
      <c r="D207" s="14"/>
      <c r="E207" s="14"/>
      <c r="F207" s="14"/>
      <c r="G207" s="14"/>
      <c r="H207" s="12"/>
      <c r="I207" s="18"/>
      <c r="T207" s="13"/>
      <c r="AD207" s="13"/>
    </row>
    <row r="208" ht="12.75" customHeight="1">
      <c r="D208" s="14"/>
      <c r="E208" s="14"/>
      <c r="F208" s="14"/>
      <c r="G208" s="14"/>
      <c r="H208" s="12"/>
      <c r="I208" s="18"/>
      <c r="T208" s="13"/>
      <c r="AD208" s="13"/>
    </row>
    <row r="209" ht="12.75" customHeight="1">
      <c r="D209" s="14"/>
      <c r="E209" s="14"/>
      <c r="F209" s="14"/>
      <c r="G209" s="14"/>
      <c r="H209" s="12"/>
      <c r="I209" s="18"/>
      <c r="T209" s="13"/>
      <c r="AD209" s="13"/>
    </row>
    <row r="210" ht="12.75" customHeight="1">
      <c r="D210" s="14"/>
      <c r="E210" s="14"/>
      <c r="F210" s="14"/>
      <c r="G210" s="14"/>
      <c r="H210" s="12"/>
      <c r="I210" s="18"/>
      <c r="T210" s="13"/>
      <c r="AD210" s="13"/>
    </row>
    <row r="211" ht="12.75" customHeight="1">
      <c r="D211" s="14"/>
      <c r="E211" s="14"/>
      <c r="F211" s="14"/>
      <c r="G211" s="14"/>
      <c r="H211" s="12"/>
      <c r="I211" s="18"/>
      <c r="T211" s="13"/>
      <c r="AD211" s="13"/>
    </row>
    <row r="212" ht="12.75" customHeight="1">
      <c r="D212" s="14"/>
      <c r="E212" s="14"/>
      <c r="F212" s="14"/>
      <c r="G212" s="14"/>
      <c r="H212" s="12"/>
      <c r="I212" s="18"/>
      <c r="T212" s="13"/>
      <c r="AD212" s="13"/>
    </row>
    <row r="213" ht="12.75" customHeight="1">
      <c r="D213" s="14"/>
      <c r="E213" s="14"/>
      <c r="F213" s="14"/>
      <c r="G213" s="14"/>
      <c r="H213" s="12"/>
      <c r="I213" s="18"/>
      <c r="T213" s="13"/>
      <c r="AD213" s="13"/>
    </row>
    <row r="214" ht="12.75" customHeight="1">
      <c r="D214" s="14"/>
      <c r="E214" s="14"/>
      <c r="F214" s="14"/>
      <c r="G214" s="14"/>
      <c r="H214" s="12"/>
      <c r="I214" s="18"/>
      <c r="T214" s="13"/>
      <c r="AD214" s="13"/>
    </row>
    <row r="215" ht="12.75" customHeight="1">
      <c r="D215" s="14"/>
      <c r="E215" s="14"/>
      <c r="F215" s="14"/>
      <c r="G215" s="14"/>
      <c r="H215" s="12"/>
      <c r="I215" s="18"/>
      <c r="T215" s="13"/>
      <c r="AD215" s="13"/>
    </row>
    <row r="216" ht="12.75" customHeight="1">
      <c r="D216" s="14"/>
      <c r="E216" s="14"/>
      <c r="F216" s="14"/>
      <c r="G216" s="14"/>
      <c r="H216" s="12"/>
      <c r="I216" s="18"/>
      <c r="T216" s="13"/>
      <c r="AD216" s="13"/>
    </row>
    <row r="217" ht="12.75" customHeight="1">
      <c r="D217" s="14"/>
      <c r="E217" s="14"/>
      <c r="F217" s="14"/>
      <c r="G217" s="14"/>
      <c r="H217" s="12"/>
      <c r="I217" s="18"/>
      <c r="T217" s="13"/>
      <c r="AD217" s="13"/>
    </row>
    <row r="218" ht="12.75" customHeight="1">
      <c r="D218" s="14"/>
      <c r="E218" s="14"/>
      <c r="F218" s="14"/>
      <c r="G218" s="14"/>
      <c r="H218" s="12"/>
      <c r="I218" s="18"/>
      <c r="T218" s="13"/>
      <c r="AD218" s="13"/>
    </row>
    <row r="219" ht="12.75" customHeight="1">
      <c r="D219" s="14"/>
      <c r="E219" s="14"/>
      <c r="F219" s="14"/>
      <c r="G219" s="14"/>
      <c r="H219" s="12"/>
      <c r="I219" s="18"/>
      <c r="T219" s="13"/>
      <c r="AD219" s="13"/>
    </row>
    <row r="220" ht="12.75" customHeight="1">
      <c r="D220" s="14"/>
      <c r="E220" s="14"/>
      <c r="F220" s="14"/>
      <c r="G220" s="14"/>
      <c r="H220" s="12"/>
      <c r="I220" s="18"/>
      <c r="T220" s="13"/>
      <c r="AD220" s="13"/>
    </row>
    <row r="221" ht="12.75" customHeight="1">
      <c r="D221" s="14"/>
      <c r="E221" s="14"/>
      <c r="F221" s="14"/>
      <c r="G221" s="14"/>
      <c r="H221" s="12"/>
      <c r="I221" s="18"/>
      <c r="T221" s="13"/>
      <c r="AD221" s="13"/>
    </row>
    <row r="222" ht="12.75" customHeight="1">
      <c r="D222" s="14"/>
      <c r="E222" s="14"/>
      <c r="F222" s="14"/>
      <c r="G222" s="14"/>
      <c r="H222" s="12"/>
      <c r="I222" s="18"/>
      <c r="T222" s="13"/>
      <c r="AD222" s="13"/>
    </row>
    <row r="223" ht="12.75" customHeight="1">
      <c r="D223" s="14"/>
      <c r="E223" s="14"/>
      <c r="F223" s="14"/>
      <c r="G223" s="14"/>
      <c r="H223" s="12"/>
      <c r="I223" s="18"/>
      <c r="T223" s="13"/>
      <c r="AD223" s="13"/>
    </row>
    <row r="224" ht="12.75" customHeight="1">
      <c r="D224" s="14"/>
      <c r="E224" s="14"/>
      <c r="F224" s="14"/>
      <c r="G224" s="14"/>
      <c r="H224" s="12"/>
      <c r="I224" s="18"/>
      <c r="T224" s="13"/>
      <c r="AD224" s="13"/>
    </row>
    <row r="225" ht="12.75" customHeight="1">
      <c r="D225" s="14"/>
      <c r="E225" s="14"/>
      <c r="F225" s="14"/>
      <c r="G225" s="14"/>
      <c r="H225" s="12"/>
      <c r="I225" s="18"/>
      <c r="T225" s="13"/>
      <c r="AD225" s="13"/>
    </row>
    <row r="226" ht="12.75" customHeight="1">
      <c r="D226" s="14"/>
      <c r="E226" s="14"/>
      <c r="F226" s="14"/>
      <c r="G226" s="14"/>
      <c r="H226" s="12"/>
      <c r="I226" s="18"/>
      <c r="T226" s="13"/>
      <c r="AD226" s="13"/>
    </row>
    <row r="227" ht="12.75" customHeight="1">
      <c r="D227" s="14"/>
      <c r="E227" s="14"/>
      <c r="F227" s="14"/>
      <c r="G227" s="14"/>
      <c r="H227" s="12"/>
      <c r="I227" s="18"/>
      <c r="T227" s="13"/>
      <c r="AD227" s="13"/>
    </row>
    <row r="228" ht="12.75" customHeight="1">
      <c r="D228" s="14"/>
      <c r="E228" s="14"/>
      <c r="F228" s="14"/>
      <c r="G228" s="14"/>
      <c r="H228" s="12"/>
      <c r="I228" s="18"/>
      <c r="T228" s="13"/>
      <c r="AD228" s="13"/>
    </row>
    <row r="229" ht="12.75" customHeight="1">
      <c r="D229" s="14"/>
      <c r="E229" s="14"/>
      <c r="F229" s="14"/>
      <c r="G229" s="14"/>
      <c r="H229" s="12"/>
      <c r="I229" s="18"/>
      <c r="T229" s="13"/>
      <c r="AD229" s="13"/>
    </row>
    <row r="230" ht="12.75" customHeight="1">
      <c r="D230" s="14"/>
      <c r="E230" s="14"/>
      <c r="F230" s="14"/>
      <c r="G230" s="14"/>
      <c r="H230" s="12"/>
      <c r="I230" s="18"/>
      <c r="T230" s="13"/>
      <c r="AD230" s="13"/>
    </row>
    <row r="231" ht="12.75" customHeight="1">
      <c r="D231" s="14"/>
      <c r="E231" s="14"/>
      <c r="F231" s="14"/>
      <c r="G231" s="14"/>
      <c r="H231" s="12"/>
      <c r="I231" s="18"/>
      <c r="T231" s="13"/>
      <c r="AD231" s="13"/>
    </row>
    <row r="232" ht="12.75" customHeight="1">
      <c r="D232" s="14"/>
      <c r="E232" s="14"/>
      <c r="F232" s="14"/>
      <c r="G232" s="14"/>
      <c r="H232" s="12"/>
      <c r="I232" s="18"/>
      <c r="T232" s="13"/>
      <c r="AD232" s="13"/>
    </row>
    <row r="233" ht="12.75" customHeight="1">
      <c r="D233" s="14"/>
      <c r="E233" s="14"/>
      <c r="F233" s="14"/>
      <c r="G233" s="14"/>
      <c r="H233" s="12"/>
      <c r="I233" s="18"/>
      <c r="T233" s="13"/>
      <c r="AD233" s="13"/>
    </row>
    <row r="234" ht="12.75" customHeight="1">
      <c r="D234" s="14"/>
      <c r="E234" s="14"/>
      <c r="F234" s="14"/>
      <c r="G234" s="14"/>
      <c r="H234" s="12"/>
      <c r="I234" s="18"/>
      <c r="T234" s="13"/>
      <c r="AD234" s="13"/>
    </row>
    <row r="235" ht="12.75" customHeight="1">
      <c r="D235" s="14"/>
      <c r="E235" s="14"/>
      <c r="F235" s="14"/>
      <c r="G235" s="14"/>
      <c r="H235" s="12"/>
      <c r="I235" s="18"/>
      <c r="T235" s="13"/>
      <c r="AD235" s="13"/>
    </row>
    <row r="236" ht="12.75" customHeight="1">
      <c r="D236" s="14"/>
      <c r="E236" s="14"/>
      <c r="F236" s="14"/>
      <c r="G236" s="14"/>
      <c r="H236" s="12"/>
      <c r="I236" s="18"/>
      <c r="T236" s="13"/>
      <c r="AD236" s="13"/>
    </row>
    <row r="237" ht="12.75" customHeight="1">
      <c r="D237" s="14"/>
      <c r="E237" s="14"/>
      <c r="F237" s="14"/>
      <c r="G237" s="14"/>
      <c r="H237" s="12"/>
      <c r="I237" s="18"/>
      <c r="T237" s="13"/>
      <c r="AD237" s="13"/>
    </row>
    <row r="238" ht="12.75" customHeight="1">
      <c r="D238" s="14"/>
      <c r="E238" s="14"/>
      <c r="F238" s="14"/>
      <c r="G238" s="14"/>
      <c r="H238" s="12"/>
      <c r="I238" s="18"/>
      <c r="T238" s="13"/>
      <c r="AD238" s="13"/>
    </row>
    <row r="239" ht="12.75" customHeight="1">
      <c r="D239" s="14"/>
      <c r="E239" s="14"/>
      <c r="F239" s="14"/>
      <c r="G239" s="14"/>
      <c r="H239" s="12"/>
      <c r="I239" s="18"/>
      <c r="T239" s="13"/>
      <c r="AD239" s="13"/>
    </row>
    <row r="240" ht="12.75" customHeight="1">
      <c r="D240" s="14"/>
      <c r="E240" s="14"/>
      <c r="F240" s="14"/>
      <c r="G240" s="14"/>
      <c r="H240" s="12"/>
      <c r="I240" s="18"/>
      <c r="T240" s="13"/>
      <c r="AD240" s="13"/>
    </row>
    <row r="241" ht="12.75" customHeight="1">
      <c r="D241" s="14"/>
      <c r="E241" s="14"/>
      <c r="F241" s="14"/>
      <c r="G241" s="14"/>
      <c r="H241" s="12"/>
      <c r="I241" s="18"/>
      <c r="T241" s="13"/>
      <c r="AD241" s="13"/>
    </row>
    <row r="242" ht="12.75" customHeight="1">
      <c r="D242" s="14"/>
      <c r="E242" s="14"/>
      <c r="F242" s="14"/>
      <c r="G242" s="14"/>
      <c r="H242" s="12"/>
      <c r="I242" s="18"/>
      <c r="T242" s="13"/>
      <c r="AD242" s="13"/>
    </row>
    <row r="243" ht="12.75" customHeight="1">
      <c r="D243" s="14"/>
      <c r="E243" s="14"/>
      <c r="F243" s="14"/>
      <c r="G243" s="14"/>
      <c r="H243" s="12"/>
      <c r="I243" s="18"/>
      <c r="T243" s="13"/>
      <c r="AD243" s="13"/>
    </row>
    <row r="244" ht="12.75" customHeight="1">
      <c r="D244" s="14"/>
      <c r="E244" s="14"/>
      <c r="F244" s="14"/>
      <c r="G244" s="14"/>
      <c r="H244" s="12"/>
      <c r="I244" s="18"/>
      <c r="T244" s="13"/>
      <c r="AD244" s="13"/>
    </row>
    <row r="245" ht="12.75" customHeight="1">
      <c r="D245" s="14"/>
      <c r="E245" s="14"/>
      <c r="F245" s="14"/>
      <c r="G245" s="14"/>
      <c r="H245" s="12"/>
      <c r="I245" s="18"/>
      <c r="T245" s="13"/>
      <c r="AD245" s="13"/>
    </row>
    <row r="246" ht="12.75" customHeight="1">
      <c r="D246" s="14"/>
      <c r="E246" s="14"/>
      <c r="F246" s="14"/>
      <c r="G246" s="14"/>
      <c r="H246" s="12"/>
      <c r="I246" s="18"/>
      <c r="T246" s="13"/>
      <c r="AD246" s="13"/>
    </row>
    <row r="247" ht="12.75" customHeight="1">
      <c r="D247" s="14"/>
      <c r="E247" s="14"/>
      <c r="F247" s="14"/>
      <c r="G247" s="14"/>
      <c r="H247" s="12"/>
      <c r="I247" s="18"/>
      <c r="T247" s="13"/>
      <c r="AD247" s="13"/>
    </row>
    <row r="248" ht="12.75" customHeight="1">
      <c r="D248" s="14"/>
      <c r="E248" s="14"/>
      <c r="F248" s="14"/>
      <c r="G248" s="14"/>
      <c r="H248" s="12"/>
      <c r="I248" s="18"/>
      <c r="T248" s="13"/>
      <c r="AD248" s="13"/>
    </row>
    <row r="249" ht="12.75" customHeight="1">
      <c r="D249" s="14"/>
      <c r="E249" s="14"/>
      <c r="F249" s="14"/>
      <c r="G249" s="14"/>
      <c r="H249" s="12"/>
      <c r="I249" s="18"/>
      <c r="T249" s="13"/>
      <c r="AD249" s="13"/>
    </row>
    <row r="250" ht="12.75" customHeight="1">
      <c r="D250" s="14"/>
      <c r="E250" s="14"/>
      <c r="F250" s="14"/>
      <c r="G250" s="14"/>
      <c r="H250" s="12"/>
      <c r="I250" s="18"/>
      <c r="T250" s="13"/>
      <c r="AD250" s="13"/>
    </row>
    <row r="251" ht="12.75" customHeight="1">
      <c r="D251" s="14"/>
      <c r="E251" s="14"/>
      <c r="F251" s="14"/>
      <c r="G251" s="14"/>
      <c r="H251" s="12"/>
      <c r="I251" s="18"/>
      <c r="T251" s="13"/>
      <c r="AD251" s="13"/>
    </row>
    <row r="252" ht="12.75" customHeight="1">
      <c r="D252" s="14"/>
      <c r="E252" s="14"/>
      <c r="F252" s="14"/>
      <c r="G252" s="14"/>
      <c r="H252" s="12"/>
      <c r="I252" s="18"/>
      <c r="T252" s="13"/>
      <c r="AD252" s="13"/>
    </row>
    <row r="253" ht="12.75" customHeight="1">
      <c r="D253" s="14"/>
      <c r="E253" s="14"/>
      <c r="F253" s="14"/>
      <c r="G253" s="14"/>
      <c r="H253" s="12"/>
      <c r="I253" s="18"/>
      <c r="T253" s="13"/>
      <c r="AD253" s="13"/>
    </row>
    <row r="254" ht="12.75" customHeight="1">
      <c r="D254" s="14"/>
      <c r="E254" s="14"/>
      <c r="F254" s="14"/>
      <c r="G254" s="14"/>
      <c r="H254" s="12"/>
      <c r="I254" s="18"/>
      <c r="T254" s="13"/>
      <c r="AD254" s="13"/>
    </row>
    <row r="255" ht="12.75" customHeight="1">
      <c r="D255" s="14"/>
      <c r="E255" s="14"/>
      <c r="F255" s="14"/>
      <c r="G255" s="14"/>
      <c r="H255" s="12"/>
      <c r="I255" s="18"/>
      <c r="T255" s="13"/>
      <c r="AD255" s="13"/>
    </row>
    <row r="256" ht="12.75" customHeight="1">
      <c r="D256" s="14"/>
      <c r="E256" s="14"/>
      <c r="F256" s="14"/>
      <c r="G256" s="14"/>
      <c r="H256" s="12"/>
      <c r="I256" s="18"/>
      <c r="T256" s="13"/>
      <c r="AD256" s="13"/>
    </row>
    <row r="257" ht="12.75" customHeight="1">
      <c r="D257" s="14"/>
      <c r="E257" s="14"/>
      <c r="F257" s="14"/>
      <c r="G257" s="14"/>
      <c r="H257" s="12"/>
      <c r="I257" s="18"/>
      <c r="T257" s="13"/>
      <c r="AD257" s="13"/>
    </row>
    <row r="258" ht="12.75" customHeight="1">
      <c r="D258" s="14"/>
      <c r="E258" s="14"/>
      <c r="F258" s="14"/>
      <c r="G258" s="14"/>
      <c r="H258" s="12"/>
      <c r="I258" s="18"/>
      <c r="T258" s="13"/>
      <c r="AD258" s="13"/>
    </row>
    <row r="259" ht="12.75" customHeight="1">
      <c r="D259" s="14"/>
      <c r="E259" s="14"/>
      <c r="F259" s="14"/>
      <c r="G259" s="14"/>
      <c r="H259" s="12"/>
      <c r="I259" s="18"/>
      <c r="T259" s="13"/>
      <c r="AD259" s="13"/>
    </row>
    <row r="260" ht="12.75" customHeight="1">
      <c r="D260" s="14"/>
      <c r="E260" s="14"/>
      <c r="F260" s="14"/>
      <c r="G260" s="14"/>
      <c r="H260" s="12"/>
      <c r="I260" s="18"/>
      <c r="T260" s="13"/>
      <c r="AD260" s="13"/>
    </row>
    <row r="261" ht="12.75" customHeight="1">
      <c r="D261" s="14"/>
      <c r="E261" s="14"/>
      <c r="F261" s="14"/>
      <c r="G261" s="14"/>
      <c r="H261" s="12"/>
      <c r="I261" s="18"/>
      <c r="T261" s="13"/>
      <c r="AD261" s="13"/>
    </row>
    <row r="262" ht="12.75" customHeight="1">
      <c r="D262" s="14"/>
      <c r="E262" s="14"/>
      <c r="F262" s="14"/>
      <c r="G262" s="14"/>
      <c r="H262" s="12"/>
      <c r="I262" s="18"/>
      <c r="T262" s="13"/>
      <c r="AD262" s="13"/>
    </row>
    <row r="263" ht="12.75" customHeight="1">
      <c r="D263" s="14"/>
      <c r="E263" s="14"/>
      <c r="F263" s="14"/>
      <c r="G263" s="14"/>
      <c r="H263" s="12"/>
      <c r="I263" s="18"/>
      <c r="T263" s="13"/>
      <c r="AD263" s="13"/>
    </row>
    <row r="264" ht="12.75" customHeight="1">
      <c r="D264" s="14"/>
      <c r="E264" s="14"/>
      <c r="F264" s="14"/>
      <c r="G264" s="14"/>
      <c r="H264" s="12"/>
      <c r="I264" s="18"/>
      <c r="T264" s="13"/>
      <c r="AD264" s="13"/>
    </row>
    <row r="265" ht="12.75" customHeight="1">
      <c r="D265" s="14"/>
      <c r="E265" s="14"/>
      <c r="F265" s="14"/>
      <c r="G265" s="14"/>
      <c r="H265" s="12"/>
      <c r="I265" s="18"/>
      <c r="T265" s="13"/>
      <c r="AD265" s="13"/>
    </row>
    <row r="266" ht="12.75" customHeight="1">
      <c r="D266" s="14"/>
      <c r="E266" s="14"/>
      <c r="F266" s="14"/>
      <c r="G266" s="14"/>
      <c r="H266" s="12"/>
      <c r="I266" s="18"/>
      <c r="T266" s="13"/>
      <c r="AD266" s="13"/>
    </row>
    <row r="267" ht="12.75" customHeight="1">
      <c r="D267" s="14"/>
      <c r="E267" s="14"/>
      <c r="F267" s="14"/>
      <c r="G267" s="14"/>
      <c r="H267" s="12"/>
      <c r="I267" s="18"/>
      <c r="T267" s="13"/>
      <c r="AD267" s="13"/>
    </row>
    <row r="268" ht="12.75" customHeight="1">
      <c r="D268" s="14"/>
      <c r="E268" s="14"/>
      <c r="F268" s="14"/>
      <c r="G268" s="14"/>
      <c r="H268" s="12"/>
      <c r="I268" s="18"/>
      <c r="T268" s="13"/>
      <c r="AD268" s="13"/>
    </row>
    <row r="269" ht="12.75" customHeight="1">
      <c r="D269" s="14"/>
      <c r="E269" s="14"/>
      <c r="F269" s="14"/>
      <c r="G269" s="14"/>
      <c r="H269" s="12"/>
      <c r="I269" s="18"/>
      <c r="T269" s="13"/>
      <c r="AD269" s="13"/>
    </row>
    <row r="270" ht="12.75" customHeight="1">
      <c r="D270" s="14"/>
      <c r="E270" s="14"/>
      <c r="F270" s="14"/>
      <c r="G270" s="14"/>
      <c r="H270" s="12"/>
      <c r="I270" s="18"/>
      <c r="T270" s="13"/>
      <c r="AD270" s="13"/>
    </row>
    <row r="271" ht="12.75" customHeight="1">
      <c r="D271" s="14"/>
      <c r="E271" s="14"/>
      <c r="F271" s="14"/>
      <c r="G271" s="14"/>
      <c r="H271" s="12"/>
      <c r="I271" s="18"/>
      <c r="T271" s="13"/>
      <c r="AD271" s="13"/>
    </row>
    <row r="272" ht="12.75" customHeight="1">
      <c r="D272" s="14"/>
      <c r="E272" s="14"/>
      <c r="F272" s="14"/>
      <c r="G272" s="14"/>
      <c r="H272" s="12"/>
      <c r="I272" s="18"/>
      <c r="T272" s="13"/>
      <c r="AD272" s="13"/>
    </row>
    <row r="273" ht="12.75" customHeight="1">
      <c r="D273" s="14"/>
      <c r="E273" s="14"/>
      <c r="F273" s="14"/>
      <c r="G273" s="14"/>
      <c r="H273" s="12"/>
      <c r="I273" s="18"/>
      <c r="T273" s="13"/>
      <c r="AD273" s="13"/>
    </row>
    <row r="274" ht="12.75" customHeight="1">
      <c r="D274" s="14"/>
      <c r="E274" s="14"/>
      <c r="F274" s="14"/>
      <c r="G274" s="14"/>
      <c r="H274" s="12"/>
      <c r="I274" s="18"/>
      <c r="T274" s="13"/>
      <c r="AD274" s="13"/>
    </row>
    <row r="275" ht="12.75" customHeight="1">
      <c r="D275" s="14"/>
      <c r="E275" s="14"/>
      <c r="F275" s="14"/>
      <c r="G275" s="14"/>
      <c r="H275" s="12"/>
      <c r="I275" s="18"/>
      <c r="T275" s="13"/>
      <c r="AD275" s="13"/>
    </row>
    <row r="276" ht="12.75" customHeight="1">
      <c r="D276" s="14"/>
      <c r="E276" s="14"/>
      <c r="F276" s="14"/>
      <c r="G276" s="14"/>
      <c r="H276" s="12"/>
      <c r="I276" s="18"/>
      <c r="T276" s="13"/>
      <c r="AD276" s="13"/>
    </row>
    <row r="277" ht="12.75" customHeight="1">
      <c r="D277" s="14"/>
      <c r="E277" s="14"/>
      <c r="F277" s="14"/>
      <c r="G277" s="14"/>
      <c r="H277" s="12"/>
      <c r="I277" s="18"/>
      <c r="T277" s="13"/>
      <c r="AD277" s="13"/>
    </row>
    <row r="278" ht="12.75" customHeight="1">
      <c r="D278" s="14"/>
      <c r="E278" s="14"/>
      <c r="F278" s="14"/>
      <c r="G278" s="14"/>
      <c r="H278" s="12"/>
      <c r="I278" s="18"/>
      <c r="T278" s="13"/>
      <c r="AD278" s="13"/>
    </row>
    <row r="279" ht="12.75" customHeight="1">
      <c r="D279" s="14"/>
      <c r="E279" s="14"/>
      <c r="F279" s="14"/>
      <c r="G279" s="14"/>
      <c r="H279" s="12"/>
      <c r="I279" s="18"/>
      <c r="T279" s="13"/>
      <c r="AD279" s="13"/>
    </row>
    <row r="280" ht="12.75" customHeight="1">
      <c r="D280" s="14"/>
      <c r="E280" s="14"/>
      <c r="F280" s="14"/>
      <c r="G280" s="14"/>
      <c r="H280" s="12"/>
      <c r="I280" s="18"/>
      <c r="T280" s="13"/>
      <c r="AD280" s="13"/>
    </row>
    <row r="281" ht="12.75" customHeight="1">
      <c r="D281" s="14"/>
      <c r="E281" s="14"/>
      <c r="F281" s="14"/>
      <c r="G281" s="14"/>
      <c r="H281" s="12"/>
      <c r="I281" s="18"/>
      <c r="T281" s="13"/>
      <c r="AD281" s="13"/>
    </row>
    <row r="282" ht="12.75" customHeight="1">
      <c r="D282" s="14"/>
      <c r="E282" s="14"/>
      <c r="F282" s="14"/>
      <c r="G282" s="14"/>
      <c r="H282" s="12"/>
      <c r="I282" s="18"/>
      <c r="T282" s="13"/>
      <c r="AD282" s="13"/>
    </row>
    <row r="283" ht="12.75" customHeight="1">
      <c r="D283" s="14"/>
      <c r="E283" s="14"/>
      <c r="F283" s="14"/>
      <c r="G283" s="14"/>
      <c r="H283" s="12"/>
      <c r="I283" s="18"/>
      <c r="T283" s="13"/>
      <c r="AD283" s="13"/>
    </row>
    <row r="284" ht="12.75" customHeight="1">
      <c r="D284" s="14"/>
      <c r="E284" s="14"/>
      <c r="F284" s="14"/>
      <c r="G284" s="14"/>
      <c r="H284" s="12"/>
      <c r="I284" s="18"/>
      <c r="T284" s="13"/>
      <c r="AD284" s="13"/>
    </row>
    <row r="285" ht="12.75" customHeight="1">
      <c r="D285" s="14"/>
      <c r="E285" s="14"/>
      <c r="F285" s="14"/>
      <c r="G285" s="14"/>
      <c r="H285" s="12"/>
      <c r="I285" s="18"/>
      <c r="T285" s="13"/>
      <c r="AD285" s="13"/>
    </row>
    <row r="286" ht="12.75" customHeight="1">
      <c r="D286" s="14"/>
      <c r="E286" s="14"/>
      <c r="F286" s="14"/>
      <c r="G286" s="14"/>
      <c r="H286" s="12"/>
      <c r="I286" s="18"/>
      <c r="T286" s="13"/>
      <c r="AD286" s="13"/>
    </row>
    <row r="287" ht="12.75" customHeight="1">
      <c r="D287" s="14"/>
      <c r="E287" s="14"/>
      <c r="F287" s="14"/>
      <c r="G287" s="14"/>
      <c r="H287" s="12"/>
      <c r="I287" s="18"/>
      <c r="T287" s="13"/>
      <c r="AD287" s="13"/>
    </row>
    <row r="288" ht="12.75" customHeight="1">
      <c r="D288" s="14"/>
      <c r="E288" s="14"/>
      <c r="F288" s="14"/>
      <c r="G288" s="14"/>
      <c r="H288" s="12"/>
      <c r="I288" s="18"/>
      <c r="T288" s="13"/>
      <c r="AD288" s="13"/>
    </row>
    <row r="289" ht="12.75" customHeight="1">
      <c r="D289" s="14"/>
      <c r="E289" s="14"/>
      <c r="F289" s="14"/>
      <c r="G289" s="14"/>
      <c r="H289" s="12"/>
      <c r="I289" s="18"/>
      <c r="T289" s="13"/>
      <c r="AD289" s="13"/>
    </row>
    <row r="290" ht="12.75" customHeight="1">
      <c r="D290" s="14"/>
      <c r="E290" s="14"/>
      <c r="F290" s="14"/>
      <c r="G290" s="14"/>
      <c r="H290" s="12"/>
      <c r="I290" s="18"/>
      <c r="T290" s="13"/>
      <c r="AD290" s="13"/>
    </row>
    <row r="291" ht="12.75" customHeight="1">
      <c r="D291" s="14"/>
      <c r="E291" s="14"/>
      <c r="F291" s="14"/>
      <c r="G291" s="14"/>
      <c r="H291" s="12"/>
      <c r="I291" s="18"/>
      <c r="T291" s="13"/>
      <c r="AD291" s="13"/>
    </row>
    <row r="292" ht="12.75" customHeight="1">
      <c r="D292" s="14"/>
      <c r="E292" s="14"/>
      <c r="F292" s="14"/>
      <c r="G292" s="14"/>
      <c r="H292" s="12"/>
      <c r="I292" s="18"/>
      <c r="T292" s="13"/>
      <c r="AD292" s="13"/>
    </row>
    <row r="293" ht="12.75" customHeight="1">
      <c r="D293" s="14"/>
      <c r="E293" s="14"/>
      <c r="F293" s="14"/>
      <c r="G293" s="14"/>
      <c r="H293" s="12"/>
      <c r="I293" s="18"/>
      <c r="T293" s="13"/>
      <c r="AD293" s="13"/>
    </row>
    <row r="294" ht="12.75" customHeight="1">
      <c r="D294" s="14"/>
      <c r="E294" s="14"/>
      <c r="F294" s="14"/>
      <c r="G294" s="14"/>
      <c r="H294" s="12"/>
      <c r="I294" s="18"/>
      <c r="T294" s="13"/>
      <c r="AD294" s="13"/>
    </row>
    <row r="295" ht="12.75" customHeight="1">
      <c r="D295" s="14"/>
      <c r="E295" s="14"/>
      <c r="F295" s="14"/>
      <c r="G295" s="14"/>
      <c r="H295" s="12"/>
      <c r="I295" s="18"/>
      <c r="T295" s="13"/>
      <c r="AD295" s="13"/>
    </row>
    <row r="296" ht="12.75" customHeight="1">
      <c r="D296" s="14"/>
      <c r="E296" s="14"/>
      <c r="F296" s="14"/>
      <c r="G296" s="14"/>
      <c r="H296" s="12"/>
      <c r="I296" s="18"/>
      <c r="T296" s="13"/>
      <c r="AD296" s="13"/>
    </row>
    <row r="297" ht="12.75" customHeight="1">
      <c r="D297" s="14"/>
      <c r="E297" s="14"/>
      <c r="F297" s="14"/>
      <c r="G297" s="14"/>
      <c r="H297" s="12"/>
      <c r="I297" s="18"/>
      <c r="T297" s="13"/>
      <c r="AD297" s="13"/>
    </row>
    <row r="298" ht="12.75" customHeight="1">
      <c r="D298" s="14"/>
      <c r="E298" s="14"/>
      <c r="F298" s="14"/>
      <c r="G298" s="14"/>
      <c r="H298" s="12"/>
      <c r="I298" s="18"/>
      <c r="T298" s="13"/>
      <c r="AD298" s="13"/>
    </row>
    <row r="299" ht="12.75" customHeight="1">
      <c r="D299" s="14"/>
      <c r="E299" s="14"/>
      <c r="F299" s="14"/>
      <c r="G299" s="14"/>
      <c r="H299" s="12"/>
      <c r="I299" s="18"/>
      <c r="T299" s="13"/>
      <c r="AD299" s="13"/>
    </row>
    <row r="300" ht="12.75" customHeight="1">
      <c r="D300" s="14"/>
      <c r="E300" s="14"/>
      <c r="F300" s="14"/>
      <c r="G300" s="14"/>
      <c r="H300" s="12"/>
      <c r="I300" s="18"/>
      <c r="T300" s="13"/>
      <c r="AD300" s="13"/>
    </row>
    <row r="301" ht="12.75" customHeight="1">
      <c r="D301" s="14"/>
      <c r="E301" s="14"/>
      <c r="F301" s="14"/>
      <c r="G301" s="14"/>
      <c r="H301" s="12"/>
      <c r="I301" s="18"/>
      <c r="T301" s="13"/>
      <c r="AD301" s="13"/>
    </row>
    <row r="302" ht="12.75" customHeight="1">
      <c r="D302" s="14"/>
      <c r="E302" s="14"/>
      <c r="F302" s="14"/>
      <c r="G302" s="14"/>
      <c r="H302" s="12"/>
      <c r="I302" s="18"/>
      <c r="T302" s="13"/>
      <c r="AD302" s="13"/>
    </row>
    <row r="303" ht="12.75" customHeight="1">
      <c r="D303" s="14"/>
      <c r="E303" s="14"/>
      <c r="F303" s="14"/>
      <c r="G303" s="14"/>
      <c r="H303" s="12"/>
      <c r="I303" s="18"/>
      <c r="T303" s="13"/>
      <c r="AD303" s="13"/>
    </row>
    <row r="304" ht="12.75" customHeight="1">
      <c r="D304" s="14"/>
      <c r="E304" s="14"/>
      <c r="F304" s="14"/>
      <c r="G304" s="14"/>
      <c r="H304" s="12"/>
      <c r="I304" s="18"/>
      <c r="T304" s="13"/>
      <c r="AD304" s="13"/>
    </row>
    <row r="305" ht="12.75" customHeight="1">
      <c r="D305" s="14"/>
      <c r="E305" s="14"/>
      <c r="F305" s="14"/>
      <c r="G305" s="14"/>
      <c r="H305" s="12"/>
      <c r="I305" s="18"/>
      <c r="T305" s="13"/>
      <c r="AD305" s="13"/>
    </row>
    <row r="306" ht="12.75" customHeight="1">
      <c r="D306" s="14"/>
      <c r="E306" s="14"/>
      <c r="F306" s="14"/>
      <c r="G306" s="14"/>
      <c r="H306" s="12"/>
      <c r="I306" s="18"/>
      <c r="T306" s="13"/>
      <c r="AD306" s="13"/>
    </row>
    <row r="307" ht="12.75" customHeight="1">
      <c r="D307" s="14"/>
      <c r="E307" s="14"/>
      <c r="F307" s="14"/>
      <c r="G307" s="14"/>
      <c r="H307" s="12"/>
      <c r="I307" s="18"/>
      <c r="T307" s="13"/>
      <c r="AD307" s="13"/>
    </row>
    <row r="308" ht="12.75" customHeight="1">
      <c r="D308" s="14"/>
      <c r="E308" s="14"/>
      <c r="F308" s="14"/>
      <c r="G308" s="14"/>
      <c r="H308" s="12"/>
      <c r="I308" s="18"/>
      <c r="T308" s="13"/>
      <c r="AD308" s="13"/>
    </row>
    <row r="309" ht="12.75" customHeight="1">
      <c r="D309" s="14"/>
      <c r="E309" s="14"/>
      <c r="F309" s="14"/>
      <c r="G309" s="14"/>
      <c r="H309" s="12"/>
      <c r="I309" s="18"/>
      <c r="T309" s="13"/>
      <c r="AD309" s="13"/>
    </row>
    <row r="310" ht="12.75" customHeight="1">
      <c r="D310" s="14"/>
      <c r="E310" s="14"/>
      <c r="F310" s="14"/>
      <c r="G310" s="14"/>
      <c r="H310" s="12"/>
      <c r="I310" s="18"/>
      <c r="T310" s="13"/>
      <c r="AD310" s="13"/>
    </row>
    <row r="311" ht="12.75" customHeight="1">
      <c r="D311" s="14"/>
      <c r="E311" s="14"/>
      <c r="F311" s="14"/>
      <c r="G311" s="14"/>
      <c r="H311" s="12"/>
      <c r="I311" s="18"/>
      <c r="T311" s="13"/>
      <c r="AD311" s="13"/>
    </row>
    <row r="312" ht="12.75" customHeight="1">
      <c r="D312" s="14"/>
      <c r="E312" s="14"/>
      <c r="F312" s="14"/>
      <c r="G312" s="14"/>
      <c r="H312" s="12"/>
      <c r="I312" s="18"/>
      <c r="T312" s="13"/>
      <c r="AD312" s="13"/>
    </row>
    <row r="313" ht="12.75" customHeight="1">
      <c r="D313" s="14"/>
      <c r="E313" s="14"/>
      <c r="F313" s="14"/>
      <c r="G313" s="14"/>
      <c r="H313" s="12"/>
      <c r="I313" s="18"/>
      <c r="T313" s="13"/>
      <c r="AD313" s="13"/>
    </row>
    <row r="314" ht="12.75" customHeight="1">
      <c r="D314" s="14"/>
      <c r="E314" s="14"/>
      <c r="F314" s="14"/>
      <c r="G314" s="14"/>
      <c r="H314" s="12"/>
      <c r="I314" s="18"/>
      <c r="T314" s="13"/>
      <c r="AD314" s="13"/>
    </row>
    <row r="315" ht="12.75" customHeight="1">
      <c r="D315" s="14"/>
      <c r="E315" s="14"/>
      <c r="F315" s="14"/>
      <c r="G315" s="14"/>
      <c r="H315" s="12"/>
      <c r="I315" s="18"/>
      <c r="T315" s="13"/>
      <c r="AD315" s="13"/>
    </row>
    <row r="316" ht="12.75" customHeight="1">
      <c r="D316" s="14"/>
      <c r="E316" s="14"/>
      <c r="F316" s="14"/>
      <c r="G316" s="14"/>
      <c r="H316" s="12"/>
      <c r="I316" s="18"/>
      <c r="T316" s="13"/>
      <c r="AD316" s="13"/>
    </row>
    <row r="317" ht="12.75" customHeight="1">
      <c r="D317" s="14"/>
      <c r="E317" s="14"/>
      <c r="F317" s="14"/>
      <c r="G317" s="14"/>
      <c r="H317" s="12"/>
      <c r="I317" s="18"/>
      <c r="T317" s="13"/>
      <c r="AD317" s="13"/>
    </row>
    <row r="318" ht="12.75" customHeight="1">
      <c r="D318" s="14"/>
      <c r="E318" s="14"/>
      <c r="F318" s="14"/>
      <c r="G318" s="14"/>
      <c r="H318" s="12"/>
      <c r="I318" s="18"/>
      <c r="T318" s="13"/>
      <c r="AD318" s="13"/>
    </row>
    <row r="319" ht="12.75" customHeight="1">
      <c r="D319" s="14"/>
      <c r="E319" s="14"/>
      <c r="F319" s="14"/>
      <c r="G319" s="14"/>
      <c r="H319" s="12"/>
      <c r="I319" s="18"/>
      <c r="T319" s="13"/>
      <c r="AD319" s="13"/>
    </row>
    <row r="320" ht="12.75" customHeight="1">
      <c r="D320" s="14"/>
      <c r="E320" s="14"/>
      <c r="F320" s="14"/>
      <c r="G320" s="14"/>
      <c r="H320" s="12"/>
      <c r="I320" s="18"/>
      <c r="T320" s="13"/>
      <c r="AD320" s="13"/>
    </row>
    <row r="321" ht="12.75" customHeight="1">
      <c r="D321" s="14"/>
      <c r="E321" s="14"/>
      <c r="F321" s="14"/>
      <c r="G321" s="14"/>
      <c r="H321" s="12"/>
      <c r="I321" s="18"/>
      <c r="T321" s="13"/>
      <c r="AD321" s="13"/>
    </row>
    <row r="322" ht="12.75" customHeight="1">
      <c r="D322" s="14"/>
      <c r="E322" s="14"/>
      <c r="F322" s="14"/>
      <c r="G322" s="14"/>
      <c r="H322" s="12"/>
      <c r="I322" s="18"/>
      <c r="T322" s="13"/>
      <c r="AD322" s="13"/>
    </row>
    <row r="323" ht="12.75" customHeight="1">
      <c r="D323" s="14"/>
      <c r="E323" s="14"/>
      <c r="F323" s="14"/>
      <c r="G323" s="14"/>
      <c r="H323" s="12"/>
      <c r="I323" s="18"/>
      <c r="T323" s="13"/>
      <c r="AD323" s="13"/>
    </row>
    <row r="324" ht="12.75" customHeight="1">
      <c r="D324" s="14"/>
      <c r="E324" s="14"/>
      <c r="F324" s="14"/>
      <c r="G324" s="14"/>
      <c r="H324" s="12"/>
      <c r="I324" s="18"/>
      <c r="T324" s="13"/>
      <c r="AD324" s="13"/>
    </row>
    <row r="325" ht="12.75" customHeight="1">
      <c r="D325" s="14"/>
      <c r="E325" s="14"/>
      <c r="F325" s="14"/>
      <c r="G325" s="14"/>
      <c r="H325" s="12"/>
      <c r="I325" s="18"/>
      <c r="T325" s="13"/>
      <c r="AD325" s="13"/>
    </row>
    <row r="326" ht="12.75" customHeight="1">
      <c r="D326" s="14"/>
      <c r="E326" s="14"/>
      <c r="F326" s="14"/>
      <c r="G326" s="14"/>
      <c r="H326" s="12"/>
      <c r="I326" s="18"/>
      <c r="T326" s="13"/>
      <c r="AD326" s="13"/>
    </row>
    <row r="327" ht="12.75" customHeight="1">
      <c r="D327" s="14"/>
      <c r="E327" s="14"/>
      <c r="F327" s="14"/>
      <c r="G327" s="14"/>
      <c r="H327" s="12"/>
      <c r="I327" s="18"/>
      <c r="T327" s="13"/>
      <c r="AD327" s="13"/>
    </row>
    <row r="328" ht="12.75" customHeight="1">
      <c r="D328" s="14"/>
      <c r="E328" s="14"/>
      <c r="F328" s="14"/>
      <c r="G328" s="14"/>
      <c r="H328" s="12"/>
      <c r="I328" s="18"/>
      <c r="T328" s="13"/>
      <c r="AD328" s="13"/>
    </row>
    <row r="329" ht="12.75" customHeight="1">
      <c r="D329" s="14"/>
      <c r="E329" s="14"/>
      <c r="F329" s="14"/>
      <c r="G329" s="14"/>
      <c r="H329" s="12"/>
      <c r="I329" s="18"/>
      <c r="T329" s="13"/>
      <c r="AD329" s="13"/>
    </row>
    <row r="330" ht="12.75" customHeight="1">
      <c r="D330" s="14"/>
      <c r="E330" s="14"/>
      <c r="F330" s="14"/>
      <c r="G330" s="14"/>
      <c r="H330" s="12"/>
      <c r="I330" s="18"/>
      <c r="T330" s="13"/>
      <c r="AD330" s="13"/>
    </row>
    <row r="331" ht="12.75" customHeight="1">
      <c r="D331" s="14"/>
      <c r="E331" s="14"/>
      <c r="F331" s="14"/>
      <c r="G331" s="14"/>
      <c r="H331" s="12"/>
      <c r="I331" s="18"/>
      <c r="T331" s="13"/>
      <c r="AD331" s="13"/>
    </row>
    <row r="332" ht="12.75" customHeight="1">
      <c r="D332" s="14"/>
      <c r="E332" s="14"/>
      <c r="F332" s="14"/>
      <c r="G332" s="14"/>
      <c r="H332" s="12"/>
      <c r="I332" s="18"/>
      <c r="T332" s="13"/>
      <c r="AD332" s="13"/>
    </row>
    <row r="333" ht="12.75" customHeight="1">
      <c r="D333" s="14"/>
      <c r="E333" s="14"/>
      <c r="F333" s="14"/>
      <c r="G333" s="14"/>
      <c r="H333" s="12"/>
      <c r="I333" s="18"/>
      <c r="T333" s="13"/>
      <c r="AD333" s="13"/>
    </row>
    <row r="334" ht="12.75" customHeight="1">
      <c r="D334" s="14"/>
      <c r="E334" s="14"/>
      <c r="F334" s="14"/>
      <c r="G334" s="14"/>
      <c r="H334" s="12"/>
      <c r="I334" s="18"/>
      <c r="T334" s="13"/>
      <c r="AD334" s="13"/>
    </row>
    <row r="335" ht="12.75" customHeight="1">
      <c r="D335" s="14"/>
      <c r="E335" s="14"/>
      <c r="F335" s="14"/>
      <c r="G335" s="14"/>
      <c r="H335" s="12"/>
      <c r="I335" s="18"/>
      <c r="T335" s="13"/>
      <c r="AD335" s="13"/>
    </row>
    <row r="336" ht="12.75" customHeight="1">
      <c r="D336" s="14"/>
      <c r="E336" s="14"/>
      <c r="F336" s="14"/>
      <c r="G336" s="14"/>
      <c r="H336" s="12"/>
      <c r="I336" s="18"/>
      <c r="T336" s="13"/>
      <c r="AD336" s="13"/>
    </row>
    <row r="337" ht="12.75" customHeight="1">
      <c r="D337" s="14"/>
      <c r="E337" s="14"/>
      <c r="F337" s="14"/>
      <c r="G337" s="14"/>
      <c r="H337" s="12"/>
      <c r="I337" s="18"/>
      <c r="T337" s="13"/>
      <c r="AD337" s="13"/>
    </row>
    <row r="338" ht="12.75" customHeight="1">
      <c r="D338" s="14"/>
      <c r="E338" s="14"/>
      <c r="F338" s="14"/>
      <c r="G338" s="14"/>
      <c r="H338" s="12"/>
      <c r="I338" s="18"/>
      <c r="T338" s="13"/>
      <c r="AD338" s="13"/>
    </row>
    <row r="339" ht="12.75" customHeight="1">
      <c r="D339" s="14"/>
      <c r="E339" s="14"/>
      <c r="F339" s="14"/>
      <c r="G339" s="14"/>
      <c r="H339" s="12"/>
      <c r="I339" s="18"/>
      <c r="T339" s="13"/>
      <c r="AD339" s="13"/>
    </row>
    <row r="340" ht="12.75" customHeight="1">
      <c r="D340" s="14"/>
      <c r="E340" s="14"/>
      <c r="F340" s="14"/>
      <c r="G340" s="14"/>
      <c r="H340" s="12"/>
      <c r="I340" s="18"/>
      <c r="T340" s="13"/>
      <c r="AD340" s="13"/>
    </row>
    <row r="341" ht="12.75" customHeight="1">
      <c r="D341" s="14"/>
      <c r="E341" s="14"/>
      <c r="F341" s="14"/>
      <c r="G341" s="14"/>
      <c r="H341" s="12"/>
      <c r="I341" s="18"/>
      <c r="T341" s="13"/>
      <c r="AD341" s="13"/>
    </row>
    <row r="342" ht="12.75" customHeight="1">
      <c r="D342" s="14"/>
      <c r="E342" s="14"/>
      <c r="F342" s="14"/>
      <c r="G342" s="14"/>
      <c r="H342" s="12"/>
      <c r="I342" s="18"/>
      <c r="T342" s="13"/>
      <c r="AD342" s="13"/>
    </row>
    <row r="343" ht="12.75" customHeight="1">
      <c r="D343" s="14"/>
      <c r="E343" s="14"/>
      <c r="F343" s="14"/>
      <c r="G343" s="14"/>
      <c r="H343" s="12"/>
      <c r="I343" s="18"/>
      <c r="T343" s="13"/>
      <c r="AD343" s="13"/>
    </row>
    <row r="344" ht="12.75" customHeight="1">
      <c r="D344" s="14"/>
      <c r="E344" s="14"/>
      <c r="F344" s="14"/>
      <c r="G344" s="14"/>
      <c r="H344" s="12"/>
      <c r="I344" s="18"/>
      <c r="T344" s="13"/>
      <c r="AD344" s="13"/>
    </row>
    <row r="345" ht="12.75" customHeight="1">
      <c r="D345" s="14"/>
      <c r="E345" s="14"/>
      <c r="F345" s="14"/>
      <c r="G345" s="14"/>
      <c r="H345" s="12"/>
      <c r="I345" s="18"/>
      <c r="T345" s="13"/>
      <c r="AD345" s="13"/>
    </row>
    <row r="346" ht="12.75" customHeight="1">
      <c r="D346" s="14"/>
      <c r="E346" s="14"/>
      <c r="F346" s="14"/>
      <c r="G346" s="14"/>
      <c r="H346" s="12"/>
      <c r="I346" s="18"/>
      <c r="T346" s="13"/>
      <c r="AD346" s="13"/>
    </row>
    <row r="347" ht="12.75" customHeight="1">
      <c r="D347" s="14"/>
      <c r="E347" s="14"/>
      <c r="F347" s="14"/>
      <c r="G347" s="14"/>
      <c r="H347" s="12"/>
      <c r="I347" s="18"/>
      <c r="T347" s="13"/>
      <c r="AD347" s="13"/>
    </row>
    <row r="348" ht="12.75" customHeight="1">
      <c r="D348" s="14"/>
      <c r="E348" s="14"/>
      <c r="F348" s="14"/>
      <c r="G348" s="14"/>
      <c r="H348" s="12"/>
      <c r="I348" s="18"/>
      <c r="T348" s="13"/>
      <c r="AD348" s="13"/>
    </row>
    <row r="349" ht="12.75" customHeight="1">
      <c r="D349" s="14"/>
      <c r="E349" s="14"/>
      <c r="F349" s="14"/>
      <c r="G349" s="14"/>
      <c r="H349" s="12"/>
      <c r="I349" s="18"/>
      <c r="T349" s="13"/>
      <c r="AD349" s="13"/>
    </row>
    <row r="350" ht="12.75" customHeight="1">
      <c r="D350" s="14"/>
      <c r="E350" s="14"/>
      <c r="F350" s="14"/>
      <c r="G350" s="14"/>
      <c r="H350" s="12"/>
      <c r="I350" s="18"/>
      <c r="T350" s="13"/>
      <c r="AD350" s="13"/>
    </row>
    <row r="351" ht="12.75" customHeight="1">
      <c r="D351" s="14"/>
      <c r="E351" s="14"/>
      <c r="F351" s="14"/>
      <c r="G351" s="14"/>
      <c r="H351" s="12"/>
      <c r="I351" s="18"/>
      <c r="T351" s="13"/>
      <c r="AD351" s="13"/>
    </row>
    <row r="352" ht="12.75" customHeight="1">
      <c r="D352" s="14"/>
      <c r="E352" s="14"/>
      <c r="F352" s="14"/>
      <c r="G352" s="14"/>
      <c r="H352" s="12"/>
      <c r="I352" s="18"/>
      <c r="T352" s="13"/>
      <c r="AD352" s="13"/>
    </row>
    <row r="353" ht="12.75" customHeight="1">
      <c r="D353" s="14"/>
      <c r="E353" s="14"/>
      <c r="F353" s="14"/>
      <c r="G353" s="14"/>
      <c r="H353" s="12"/>
      <c r="I353" s="18"/>
      <c r="T353" s="13"/>
      <c r="AD353" s="13"/>
    </row>
    <row r="354" ht="12.75" customHeight="1">
      <c r="D354" s="14"/>
      <c r="E354" s="14"/>
      <c r="F354" s="14"/>
      <c r="G354" s="14"/>
      <c r="H354" s="12"/>
      <c r="I354" s="18"/>
      <c r="T354" s="13"/>
      <c r="AD354" s="13"/>
    </row>
    <row r="355" ht="12.75" customHeight="1">
      <c r="D355" s="14"/>
      <c r="E355" s="14"/>
      <c r="F355" s="14"/>
      <c r="G355" s="14"/>
      <c r="H355" s="12"/>
      <c r="I355" s="18"/>
      <c r="T355" s="13"/>
      <c r="AD355" s="13"/>
    </row>
    <row r="356" ht="12.75" customHeight="1">
      <c r="D356" s="14"/>
      <c r="E356" s="14"/>
      <c r="F356" s="14"/>
      <c r="G356" s="14"/>
      <c r="H356" s="12"/>
      <c r="I356" s="18"/>
      <c r="T356" s="13"/>
      <c r="AD356" s="13"/>
    </row>
    <row r="357" ht="12.75" customHeight="1">
      <c r="D357" s="14"/>
      <c r="E357" s="14"/>
      <c r="F357" s="14"/>
      <c r="G357" s="14"/>
      <c r="H357" s="12"/>
      <c r="I357" s="18"/>
      <c r="T357" s="13"/>
      <c r="AD357" s="13"/>
    </row>
    <row r="358" ht="12.75" customHeight="1">
      <c r="D358" s="14"/>
      <c r="E358" s="14"/>
      <c r="F358" s="14"/>
      <c r="G358" s="14"/>
      <c r="H358" s="12"/>
      <c r="I358" s="18"/>
      <c r="T358" s="13"/>
      <c r="AD358" s="13"/>
    </row>
    <row r="359" ht="12.75" customHeight="1">
      <c r="D359" s="14"/>
      <c r="E359" s="14"/>
      <c r="F359" s="14"/>
      <c r="G359" s="14"/>
      <c r="H359" s="12"/>
      <c r="I359" s="18"/>
      <c r="T359" s="13"/>
      <c r="AD359" s="13"/>
    </row>
    <row r="360" ht="12.75" customHeight="1">
      <c r="D360" s="14"/>
      <c r="E360" s="14"/>
      <c r="F360" s="14"/>
      <c r="G360" s="14"/>
      <c r="H360" s="12"/>
      <c r="I360" s="18"/>
      <c r="T360" s="13"/>
      <c r="AD360" s="13"/>
    </row>
    <row r="361" ht="12.75" customHeight="1">
      <c r="D361" s="14"/>
      <c r="E361" s="14"/>
      <c r="F361" s="14"/>
      <c r="G361" s="14"/>
      <c r="H361" s="12"/>
      <c r="I361" s="18"/>
      <c r="T361" s="13"/>
      <c r="AD361" s="13"/>
    </row>
    <row r="362" ht="12.75" customHeight="1">
      <c r="D362" s="14"/>
      <c r="E362" s="14"/>
      <c r="F362" s="14"/>
      <c r="G362" s="14"/>
      <c r="H362" s="12"/>
      <c r="I362" s="18"/>
      <c r="T362" s="13"/>
      <c r="AD362" s="13"/>
    </row>
    <row r="363" ht="12.75" customHeight="1">
      <c r="D363" s="14"/>
      <c r="E363" s="14"/>
      <c r="F363" s="14"/>
      <c r="G363" s="14"/>
      <c r="H363" s="12"/>
      <c r="I363" s="18"/>
      <c r="T363" s="13"/>
      <c r="AD363" s="13"/>
    </row>
    <row r="364" ht="12.75" customHeight="1">
      <c r="D364" s="14"/>
      <c r="E364" s="14"/>
      <c r="F364" s="14"/>
      <c r="G364" s="14"/>
      <c r="H364" s="12"/>
      <c r="I364" s="18"/>
      <c r="T364" s="13"/>
      <c r="AD364" s="13"/>
    </row>
    <row r="365" ht="12.75" customHeight="1">
      <c r="D365" s="14"/>
      <c r="E365" s="14"/>
      <c r="F365" s="14"/>
      <c r="G365" s="14"/>
      <c r="H365" s="12"/>
      <c r="I365" s="18"/>
      <c r="T365" s="13"/>
      <c r="AD365" s="13"/>
    </row>
    <row r="366" ht="12.75" customHeight="1">
      <c r="D366" s="14"/>
      <c r="E366" s="14"/>
      <c r="F366" s="14"/>
      <c r="G366" s="14"/>
      <c r="H366" s="12"/>
      <c r="I366" s="18"/>
      <c r="T366" s="13"/>
      <c r="AD366" s="13"/>
    </row>
    <row r="367" ht="12.75" customHeight="1">
      <c r="D367" s="14"/>
      <c r="E367" s="14"/>
      <c r="F367" s="14"/>
      <c r="G367" s="14"/>
      <c r="H367" s="12"/>
      <c r="I367" s="18"/>
      <c r="T367" s="13"/>
      <c r="AD367" s="13"/>
    </row>
    <row r="368" ht="12.75" customHeight="1">
      <c r="D368" s="14"/>
      <c r="E368" s="14"/>
      <c r="F368" s="14"/>
      <c r="G368" s="14"/>
      <c r="H368" s="12"/>
      <c r="I368" s="18"/>
      <c r="T368" s="13"/>
      <c r="AD368" s="13"/>
    </row>
    <row r="369" ht="12.75" customHeight="1">
      <c r="D369" s="14"/>
      <c r="E369" s="14"/>
      <c r="F369" s="14"/>
      <c r="G369" s="14"/>
      <c r="H369" s="12"/>
      <c r="I369" s="18"/>
      <c r="T369" s="13"/>
      <c r="AD369" s="13"/>
    </row>
    <row r="370" ht="12.75" customHeight="1">
      <c r="D370" s="14"/>
      <c r="E370" s="14"/>
      <c r="F370" s="14"/>
      <c r="G370" s="14"/>
      <c r="H370" s="12"/>
      <c r="I370" s="18"/>
      <c r="T370" s="13"/>
      <c r="AD370" s="13"/>
    </row>
    <row r="371" ht="12.75" customHeight="1">
      <c r="D371" s="14"/>
      <c r="E371" s="14"/>
      <c r="F371" s="14"/>
      <c r="G371" s="14"/>
      <c r="H371" s="12"/>
      <c r="I371" s="18"/>
      <c r="T371" s="13"/>
      <c r="AD371" s="13"/>
    </row>
    <row r="372" ht="12.75" customHeight="1">
      <c r="D372" s="14"/>
      <c r="E372" s="14"/>
      <c r="F372" s="14"/>
      <c r="G372" s="14"/>
      <c r="H372" s="12"/>
      <c r="I372" s="18"/>
      <c r="T372" s="13"/>
      <c r="AD372" s="13"/>
    </row>
    <row r="373" ht="12.75" customHeight="1">
      <c r="D373" s="14"/>
      <c r="E373" s="14"/>
      <c r="F373" s="14"/>
      <c r="G373" s="14"/>
      <c r="H373" s="12"/>
      <c r="I373" s="18"/>
      <c r="T373" s="13"/>
      <c r="AD373" s="13"/>
    </row>
    <row r="374" ht="12.75" customHeight="1">
      <c r="D374" s="14"/>
      <c r="E374" s="14"/>
      <c r="F374" s="14"/>
      <c r="G374" s="14"/>
      <c r="H374" s="12"/>
      <c r="I374" s="18"/>
      <c r="T374" s="13"/>
      <c r="AD374" s="13"/>
    </row>
    <row r="375" ht="12.75" customHeight="1">
      <c r="D375" s="14"/>
      <c r="E375" s="14"/>
      <c r="F375" s="14"/>
      <c r="G375" s="14"/>
      <c r="H375" s="12"/>
      <c r="I375" s="18"/>
      <c r="T375" s="13"/>
      <c r="AD375" s="13"/>
    </row>
    <row r="376" ht="12.75" customHeight="1">
      <c r="D376" s="14"/>
      <c r="E376" s="14"/>
      <c r="F376" s="14"/>
      <c r="G376" s="14"/>
      <c r="H376" s="12"/>
      <c r="I376" s="18"/>
      <c r="T376" s="13"/>
      <c r="AD376" s="13"/>
    </row>
    <row r="377" ht="12.75" customHeight="1">
      <c r="D377" s="14"/>
      <c r="E377" s="14"/>
      <c r="F377" s="14"/>
      <c r="G377" s="14"/>
      <c r="H377" s="12"/>
      <c r="I377" s="18"/>
      <c r="T377" s="13"/>
      <c r="AD377" s="13"/>
    </row>
    <row r="378" ht="12.75" customHeight="1">
      <c r="D378" s="14"/>
      <c r="E378" s="14"/>
      <c r="F378" s="14"/>
      <c r="G378" s="14"/>
      <c r="H378" s="12"/>
      <c r="I378" s="18"/>
      <c r="T378" s="13"/>
      <c r="AD378" s="13"/>
    </row>
    <row r="379" ht="12.75" customHeight="1">
      <c r="D379" s="14"/>
      <c r="E379" s="14"/>
      <c r="F379" s="14"/>
      <c r="G379" s="14"/>
      <c r="H379" s="12"/>
      <c r="I379" s="18"/>
      <c r="T379" s="13"/>
      <c r="AD379" s="13"/>
    </row>
    <row r="380" ht="12.75" customHeight="1">
      <c r="D380" s="14"/>
      <c r="E380" s="14"/>
      <c r="F380" s="14"/>
      <c r="G380" s="14"/>
      <c r="H380" s="12"/>
      <c r="I380" s="18"/>
      <c r="T380" s="13"/>
      <c r="AD380" s="13"/>
    </row>
    <row r="381" ht="12.75" customHeight="1">
      <c r="D381" s="14"/>
      <c r="E381" s="14"/>
      <c r="F381" s="14"/>
      <c r="G381" s="14"/>
      <c r="H381" s="12"/>
      <c r="I381" s="18"/>
      <c r="T381" s="13"/>
      <c r="AD381" s="13"/>
    </row>
    <row r="382" ht="12.75" customHeight="1">
      <c r="D382" s="14"/>
      <c r="E382" s="14"/>
      <c r="F382" s="14"/>
      <c r="G382" s="14"/>
      <c r="H382" s="12"/>
      <c r="I382" s="18"/>
      <c r="T382" s="13"/>
      <c r="AD382" s="13"/>
    </row>
    <row r="383" ht="12.75" customHeight="1">
      <c r="D383" s="14"/>
      <c r="E383" s="14"/>
      <c r="F383" s="14"/>
      <c r="G383" s="14"/>
      <c r="H383" s="12"/>
      <c r="I383" s="18"/>
      <c r="T383" s="13"/>
      <c r="AD383" s="13"/>
    </row>
    <row r="384" ht="12.75" customHeight="1">
      <c r="D384" s="14"/>
      <c r="E384" s="14"/>
      <c r="F384" s="14"/>
      <c r="G384" s="14"/>
      <c r="H384" s="12"/>
      <c r="I384" s="18"/>
      <c r="T384" s="13"/>
      <c r="AD384" s="13"/>
    </row>
    <row r="385" ht="12.75" customHeight="1">
      <c r="D385" s="14"/>
      <c r="E385" s="14"/>
      <c r="F385" s="14"/>
      <c r="G385" s="14"/>
      <c r="H385" s="12"/>
      <c r="I385" s="18"/>
      <c r="T385" s="13"/>
      <c r="AD385" s="13"/>
    </row>
    <row r="386" ht="12.75" customHeight="1">
      <c r="D386" s="14"/>
      <c r="E386" s="14"/>
      <c r="F386" s="14"/>
      <c r="G386" s="14"/>
      <c r="H386" s="12"/>
      <c r="I386" s="18"/>
      <c r="T386" s="13"/>
      <c r="AD386" s="13"/>
    </row>
    <row r="387" ht="12.75" customHeight="1">
      <c r="D387" s="14"/>
      <c r="E387" s="14"/>
      <c r="F387" s="14"/>
      <c r="G387" s="14"/>
      <c r="H387" s="12"/>
      <c r="I387" s="18"/>
      <c r="T387" s="13"/>
      <c r="AD387" s="13"/>
    </row>
    <row r="388" ht="12.75" customHeight="1">
      <c r="D388" s="14"/>
      <c r="E388" s="14"/>
      <c r="F388" s="14"/>
      <c r="G388" s="14"/>
      <c r="H388" s="12"/>
      <c r="I388" s="18"/>
      <c r="T388" s="13"/>
      <c r="AD388" s="13"/>
    </row>
    <row r="389" ht="12.75" customHeight="1">
      <c r="D389" s="14"/>
      <c r="E389" s="14"/>
      <c r="F389" s="14"/>
      <c r="G389" s="14"/>
      <c r="H389" s="12"/>
      <c r="I389" s="18"/>
      <c r="T389" s="13"/>
      <c r="AD389" s="13"/>
    </row>
    <row r="390" ht="12.75" customHeight="1">
      <c r="D390" s="14"/>
      <c r="E390" s="14"/>
      <c r="F390" s="14"/>
      <c r="G390" s="14"/>
      <c r="H390" s="12"/>
      <c r="I390" s="18"/>
      <c r="T390" s="13"/>
      <c r="AD390" s="13"/>
    </row>
    <row r="391" ht="12.75" customHeight="1">
      <c r="D391" s="14"/>
      <c r="E391" s="14"/>
      <c r="F391" s="14"/>
      <c r="G391" s="14"/>
      <c r="H391" s="12"/>
      <c r="I391" s="18"/>
      <c r="T391" s="13"/>
      <c r="AD391" s="13"/>
    </row>
    <row r="392" ht="12.75" customHeight="1">
      <c r="D392" s="14"/>
      <c r="E392" s="14"/>
      <c r="F392" s="14"/>
      <c r="G392" s="14"/>
      <c r="H392" s="12"/>
      <c r="I392" s="18"/>
      <c r="T392" s="13"/>
      <c r="AD392" s="13"/>
    </row>
    <row r="393" ht="12.75" customHeight="1">
      <c r="D393" s="14"/>
      <c r="E393" s="14"/>
      <c r="F393" s="14"/>
      <c r="G393" s="14"/>
      <c r="H393" s="12"/>
      <c r="I393" s="18"/>
      <c r="T393" s="13"/>
      <c r="AD393" s="13"/>
    </row>
    <row r="394" ht="12.75" customHeight="1">
      <c r="D394" s="14"/>
      <c r="E394" s="14"/>
      <c r="F394" s="14"/>
      <c r="G394" s="14"/>
      <c r="H394" s="12"/>
      <c r="I394" s="18"/>
      <c r="T394" s="13"/>
      <c r="AD394" s="13"/>
    </row>
    <row r="395" ht="12.75" customHeight="1">
      <c r="D395" s="14"/>
      <c r="E395" s="14"/>
      <c r="F395" s="14"/>
      <c r="G395" s="14"/>
      <c r="H395" s="12"/>
      <c r="I395" s="18"/>
      <c r="T395" s="13"/>
      <c r="AD395" s="13"/>
    </row>
    <row r="396" ht="12.75" customHeight="1">
      <c r="D396" s="14"/>
      <c r="E396" s="14"/>
      <c r="F396" s="14"/>
      <c r="G396" s="14"/>
      <c r="H396" s="12"/>
      <c r="I396" s="18"/>
      <c r="T396" s="13"/>
      <c r="AD396" s="13"/>
    </row>
    <row r="397" ht="12.75" customHeight="1">
      <c r="D397" s="14"/>
      <c r="E397" s="14"/>
      <c r="F397" s="14"/>
      <c r="G397" s="14"/>
      <c r="H397" s="12"/>
      <c r="I397" s="18"/>
      <c r="T397" s="13"/>
      <c r="AD397" s="13"/>
    </row>
    <row r="398" ht="12.75" customHeight="1">
      <c r="D398" s="14"/>
      <c r="E398" s="14"/>
      <c r="F398" s="14"/>
      <c r="G398" s="14"/>
      <c r="H398" s="12"/>
      <c r="I398" s="18"/>
      <c r="T398" s="13"/>
      <c r="AD398" s="13"/>
    </row>
    <row r="399" ht="12.75" customHeight="1">
      <c r="D399" s="14"/>
      <c r="E399" s="14"/>
      <c r="F399" s="14"/>
      <c r="G399" s="14"/>
      <c r="H399" s="12"/>
      <c r="I399" s="18"/>
      <c r="T399" s="13"/>
      <c r="AD399" s="13"/>
    </row>
    <row r="400" ht="12.75" customHeight="1">
      <c r="D400" s="14"/>
      <c r="E400" s="14"/>
      <c r="F400" s="14"/>
      <c r="G400" s="14"/>
      <c r="H400" s="12"/>
      <c r="I400" s="18"/>
      <c r="T400" s="13"/>
      <c r="AD400" s="13"/>
    </row>
    <row r="401" ht="12.75" customHeight="1">
      <c r="D401" s="14"/>
      <c r="E401" s="14"/>
      <c r="F401" s="14"/>
      <c r="G401" s="14"/>
      <c r="H401" s="12"/>
      <c r="I401" s="18"/>
      <c r="T401" s="13"/>
      <c r="AD401" s="13"/>
    </row>
    <row r="402" ht="12.75" customHeight="1">
      <c r="D402" s="14"/>
      <c r="E402" s="14"/>
      <c r="F402" s="14"/>
      <c r="G402" s="14"/>
      <c r="H402" s="12"/>
      <c r="I402" s="18"/>
      <c r="T402" s="13"/>
      <c r="AD402" s="13"/>
    </row>
    <row r="403" ht="12.75" customHeight="1">
      <c r="D403" s="14"/>
      <c r="E403" s="14"/>
      <c r="F403" s="14"/>
      <c r="G403" s="14"/>
      <c r="H403" s="12"/>
      <c r="I403" s="18"/>
      <c r="T403" s="13"/>
      <c r="AD403" s="13"/>
    </row>
    <row r="404" ht="12.75" customHeight="1">
      <c r="D404" s="14"/>
      <c r="E404" s="14"/>
      <c r="F404" s="14"/>
      <c r="G404" s="14"/>
      <c r="H404" s="12"/>
      <c r="I404" s="18"/>
      <c r="T404" s="13"/>
      <c r="AD404" s="13"/>
    </row>
    <row r="405" ht="12.75" customHeight="1">
      <c r="D405" s="14"/>
      <c r="E405" s="14"/>
      <c r="F405" s="14"/>
      <c r="G405" s="14"/>
      <c r="H405" s="12"/>
      <c r="I405" s="18"/>
      <c r="T405" s="13"/>
      <c r="AD405" s="13"/>
    </row>
    <row r="406" ht="12.75" customHeight="1">
      <c r="D406" s="14"/>
      <c r="E406" s="14"/>
      <c r="F406" s="14"/>
      <c r="G406" s="14"/>
      <c r="H406" s="12"/>
      <c r="I406" s="18"/>
      <c r="T406" s="13"/>
      <c r="AD406" s="13"/>
    </row>
    <row r="407" ht="12.75" customHeight="1">
      <c r="D407" s="14"/>
      <c r="E407" s="14"/>
      <c r="F407" s="14"/>
      <c r="G407" s="14"/>
      <c r="H407" s="12"/>
      <c r="I407" s="18"/>
      <c r="T407" s="13"/>
      <c r="AD407" s="13"/>
    </row>
    <row r="408" ht="12.75" customHeight="1">
      <c r="D408" s="14"/>
      <c r="E408" s="14"/>
      <c r="F408" s="14"/>
      <c r="G408" s="14"/>
      <c r="H408" s="12"/>
      <c r="I408" s="18"/>
      <c r="T408" s="13"/>
      <c r="AD408" s="13"/>
    </row>
    <row r="409" ht="12.75" customHeight="1">
      <c r="D409" s="14"/>
      <c r="E409" s="14"/>
      <c r="F409" s="14"/>
      <c r="G409" s="14"/>
      <c r="H409" s="12"/>
      <c r="I409" s="18"/>
      <c r="T409" s="13"/>
      <c r="AD409" s="13"/>
    </row>
    <row r="410" ht="12.75" customHeight="1">
      <c r="D410" s="14"/>
      <c r="E410" s="14"/>
      <c r="F410" s="14"/>
      <c r="G410" s="14"/>
      <c r="H410" s="12"/>
      <c r="I410" s="18"/>
      <c r="T410" s="13"/>
      <c r="AD410" s="13"/>
    </row>
    <row r="411" ht="12.75" customHeight="1">
      <c r="D411" s="14"/>
      <c r="E411" s="14"/>
      <c r="F411" s="14"/>
      <c r="G411" s="14"/>
      <c r="H411" s="12"/>
      <c r="I411" s="18"/>
      <c r="T411" s="13"/>
      <c r="AD411" s="13"/>
    </row>
    <row r="412" ht="12.75" customHeight="1">
      <c r="D412" s="14"/>
      <c r="E412" s="14"/>
      <c r="F412" s="14"/>
      <c r="G412" s="14"/>
      <c r="H412" s="12"/>
      <c r="I412" s="18"/>
      <c r="T412" s="13"/>
      <c r="AD412" s="13"/>
    </row>
    <row r="413" ht="12.75" customHeight="1">
      <c r="D413" s="14"/>
      <c r="E413" s="14"/>
      <c r="F413" s="14"/>
      <c r="G413" s="14"/>
      <c r="H413" s="12"/>
      <c r="I413" s="18"/>
      <c r="T413" s="13"/>
      <c r="AD413" s="13"/>
    </row>
    <row r="414" ht="12.75" customHeight="1">
      <c r="D414" s="14"/>
      <c r="E414" s="14"/>
      <c r="F414" s="14"/>
      <c r="G414" s="14"/>
      <c r="H414" s="12"/>
      <c r="I414" s="18"/>
      <c r="T414" s="13"/>
      <c r="AD414" s="13"/>
    </row>
    <row r="415" ht="12.75" customHeight="1">
      <c r="D415" s="14"/>
      <c r="E415" s="14"/>
      <c r="F415" s="14"/>
      <c r="G415" s="14"/>
      <c r="H415" s="12"/>
      <c r="I415" s="18"/>
      <c r="T415" s="13"/>
      <c r="AD415" s="13"/>
    </row>
    <row r="416" ht="12.75" customHeight="1">
      <c r="D416" s="14"/>
      <c r="E416" s="14"/>
      <c r="F416" s="14"/>
      <c r="G416" s="14"/>
      <c r="H416" s="12"/>
      <c r="I416" s="18"/>
      <c r="T416" s="13"/>
      <c r="AD416" s="13"/>
    </row>
    <row r="417" ht="12.75" customHeight="1">
      <c r="D417" s="14"/>
      <c r="E417" s="14"/>
      <c r="F417" s="14"/>
      <c r="G417" s="14"/>
      <c r="H417" s="12"/>
      <c r="I417" s="18"/>
      <c r="T417" s="13"/>
      <c r="AD417" s="13"/>
    </row>
    <row r="418" ht="12.75" customHeight="1">
      <c r="D418" s="14"/>
      <c r="E418" s="14"/>
      <c r="F418" s="14"/>
      <c r="G418" s="14"/>
      <c r="H418" s="12"/>
      <c r="I418" s="18"/>
      <c r="T418" s="13"/>
      <c r="AD418" s="13"/>
    </row>
    <row r="419" ht="12.75" customHeight="1">
      <c r="D419" s="14"/>
      <c r="E419" s="14"/>
      <c r="F419" s="14"/>
      <c r="G419" s="14"/>
      <c r="H419" s="12"/>
      <c r="I419" s="18"/>
      <c r="T419" s="13"/>
      <c r="AD419" s="13"/>
    </row>
    <row r="420" ht="12.75" customHeight="1">
      <c r="D420" s="14"/>
      <c r="E420" s="14"/>
      <c r="F420" s="14"/>
      <c r="G420" s="14"/>
      <c r="H420" s="12"/>
      <c r="I420" s="18"/>
      <c r="T420" s="13"/>
      <c r="AD420" s="13"/>
    </row>
    <row r="421" ht="12.75" customHeight="1">
      <c r="D421" s="14"/>
      <c r="E421" s="14"/>
      <c r="F421" s="14"/>
      <c r="G421" s="14"/>
      <c r="H421" s="12"/>
      <c r="I421" s="18"/>
      <c r="T421" s="13"/>
      <c r="AD421" s="13"/>
    </row>
    <row r="422" ht="12.75" customHeight="1">
      <c r="D422" s="14"/>
      <c r="E422" s="14"/>
      <c r="F422" s="14"/>
      <c r="G422" s="14"/>
      <c r="H422" s="12"/>
      <c r="I422" s="18"/>
      <c r="T422" s="13"/>
      <c r="AD422" s="13"/>
    </row>
    <row r="423" ht="12.75" customHeight="1">
      <c r="D423" s="14"/>
      <c r="E423" s="14"/>
      <c r="F423" s="14"/>
      <c r="G423" s="14"/>
      <c r="H423" s="12"/>
      <c r="I423" s="18"/>
      <c r="T423" s="13"/>
      <c r="AD423" s="13"/>
    </row>
    <row r="424" ht="12.75" customHeight="1">
      <c r="D424" s="14"/>
      <c r="E424" s="14"/>
      <c r="F424" s="14"/>
      <c r="G424" s="14"/>
      <c r="H424" s="12"/>
      <c r="I424" s="18"/>
      <c r="T424" s="13"/>
      <c r="AD424" s="13"/>
    </row>
    <row r="425" ht="12.75" customHeight="1">
      <c r="D425" s="14"/>
      <c r="E425" s="14"/>
      <c r="F425" s="14"/>
      <c r="G425" s="14"/>
      <c r="H425" s="12"/>
      <c r="I425" s="18"/>
      <c r="T425" s="13"/>
      <c r="AD425" s="13"/>
    </row>
    <row r="426" ht="12.75" customHeight="1">
      <c r="D426" s="14"/>
      <c r="E426" s="14"/>
      <c r="F426" s="14"/>
      <c r="G426" s="14"/>
      <c r="H426" s="12"/>
      <c r="I426" s="18"/>
      <c r="T426" s="13"/>
      <c r="AD426" s="13"/>
    </row>
    <row r="427" ht="12.75" customHeight="1">
      <c r="D427" s="14"/>
      <c r="E427" s="14"/>
      <c r="F427" s="14"/>
      <c r="G427" s="14"/>
      <c r="H427" s="12"/>
      <c r="I427" s="18"/>
      <c r="T427" s="13"/>
      <c r="AD427" s="13"/>
    </row>
    <row r="428" ht="12.75" customHeight="1">
      <c r="D428" s="14"/>
      <c r="E428" s="14"/>
      <c r="F428" s="14"/>
      <c r="G428" s="14"/>
      <c r="H428" s="12"/>
      <c r="I428" s="18"/>
      <c r="T428" s="13"/>
      <c r="AD428" s="13"/>
    </row>
    <row r="429" ht="12.75" customHeight="1">
      <c r="D429" s="14"/>
      <c r="E429" s="14"/>
      <c r="F429" s="14"/>
      <c r="G429" s="14"/>
      <c r="H429" s="12"/>
      <c r="I429" s="18"/>
      <c r="T429" s="13"/>
      <c r="AD429" s="13"/>
    </row>
    <row r="430" ht="12.75" customHeight="1">
      <c r="D430" s="14"/>
      <c r="E430" s="14"/>
      <c r="F430" s="14"/>
      <c r="G430" s="14"/>
      <c r="H430" s="12"/>
      <c r="I430" s="18"/>
      <c r="T430" s="13"/>
      <c r="AD430" s="13"/>
    </row>
    <row r="431" ht="12.75" customHeight="1">
      <c r="D431" s="14"/>
      <c r="E431" s="14"/>
      <c r="F431" s="14"/>
      <c r="G431" s="14"/>
      <c r="H431" s="12"/>
      <c r="I431" s="18"/>
      <c r="T431" s="13"/>
      <c r="AD431" s="13"/>
    </row>
    <row r="432" ht="12.75" customHeight="1">
      <c r="D432" s="14"/>
      <c r="E432" s="14"/>
      <c r="F432" s="14"/>
      <c r="G432" s="14"/>
      <c r="H432" s="12"/>
      <c r="I432" s="18"/>
      <c r="T432" s="13"/>
      <c r="AD432" s="13"/>
    </row>
    <row r="433" ht="12.75" customHeight="1">
      <c r="D433" s="14"/>
      <c r="E433" s="14"/>
      <c r="F433" s="14"/>
      <c r="G433" s="14"/>
      <c r="H433" s="12"/>
      <c r="I433" s="18"/>
      <c r="T433" s="13"/>
      <c r="AD433" s="13"/>
    </row>
    <row r="434" ht="12.75" customHeight="1">
      <c r="D434" s="14"/>
      <c r="E434" s="14"/>
      <c r="F434" s="14"/>
      <c r="G434" s="14"/>
      <c r="H434" s="12"/>
      <c r="I434" s="18"/>
      <c r="T434" s="13"/>
      <c r="AD434" s="13"/>
    </row>
    <row r="435" ht="12.75" customHeight="1">
      <c r="D435" s="14"/>
      <c r="E435" s="14"/>
      <c r="F435" s="14"/>
      <c r="G435" s="14"/>
      <c r="H435" s="12"/>
      <c r="I435" s="18"/>
      <c r="T435" s="13"/>
      <c r="AD435" s="13"/>
    </row>
    <row r="436" ht="12.75" customHeight="1">
      <c r="D436" s="14"/>
      <c r="E436" s="14"/>
      <c r="F436" s="14"/>
      <c r="G436" s="14"/>
      <c r="H436" s="12"/>
      <c r="I436" s="18"/>
      <c r="T436" s="13"/>
      <c r="AD436" s="13"/>
    </row>
    <row r="437" ht="12.75" customHeight="1">
      <c r="D437" s="14"/>
      <c r="E437" s="14"/>
      <c r="F437" s="14"/>
      <c r="G437" s="14"/>
      <c r="H437" s="12"/>
      <c r="I437" s="18"/>
      <c r="T437" s="13"/>
      <c r="AD437" s="13"/>
    </row>
    <row r="438" ht="12.75" customHeight="1">
      <c r="D438" s="14"/>
      <c r="E438" s="14"/>
      <c r="F438" s="14"/>
      <c r="G438" s="14"/>
      <c r="H438" s="12"/>
      <c r="I438" s="18"/>
      <c r="T438" s="13"/>
      <c r="AD438" s="13"/>
    </row>
    <row r="439" ht="12.75" customHeight="1">
      <c r="D439" s="14"/>
      <c r="E439" s="14"/>
      <c r="F439" s="14"/>
      <c r="G439" s="14"/>
      <c r="H439" s="12"/>
      <c r="I439" s="18"/>
      <c r="T439" s="13"/>
      <c r="AD439" s="13"/>
    </row>
    <row r="440" ht="12.75" customHeight="1">
      <c r="D440" s="14"/>
      <c r="E440" s="14"/>
      <c r="F440" s="14"/>
      <c r="G440" s="14"/>
      <c r="H440" s="12"/>
      <c r="I440" s="18"/>
      <c r="T440" s="13"/>
      <c r="AD440" s="13"/>
    </row>
    <row r="441" ht="12.75" customHeight="1">
      <c r="D441" s="14"/>
      <c r="E441" s="14"/>
      <c r="F441" s="14"/>
      <c r="G441" s="14"/>
      <c r="H441" s="12"/>
      <c r="I441" s="18"/>
      <c r="T441" s="13"/>
      <c r="AD441" s="13"/>
    </row>
    <row r="442" ht="12.75" customHeight="1">
      <c r="D442" s="14"/>
      <c r="E442" s="14"/>
      <c r="F442" s="14"/>
      <c r="G442" s="14"/>
      <c r="H442" s="12"/>
      <c r="I442" s="18"/>
      <c r="T442" s="13"/>
      <c r="AD442" s="13"/>
    </row>
    <row r="443" ht="12.75" customHeight="1">
      <c r="D443" s="14"/>
      <c r="E443" s="14"/>
      <c r="F443" s="14"/>
      <c r="G443" s="14"/>
      <c r="H443" s="12"/>
      <c r="I443" s="18"/>
      <c r="T443" s="13"/>
      <c r="AD443" s="13"/>
    </row>
    <row r="444" ht="12.75" customHeight="1">
      <c r="D444" s="14"/>
      <c r="E444" s="14"/>
      <c r="F444" s="14"/>
      <c r="G444" s="14"/>
      <c r="H444" s="12"/>
      <c r="I444" s="18"/>
      <c r="T444" s="13"/>
      <c r="AD444" s="13"/>
    </row>
    <row r="445" ht="12.75" customHeight="1">
      <c r="D445" s="14"/>
      <c r="E445" s="14"/>
      <c r="F445" s="14"/>
      <c r="G445" s="14"/>
      <c r="H445" s="12"/>
      <c r="I445" s="18"/>
      <c r="T445" s="13"/>
      <c r="AD445" s="13"/>
    </row>
    <row r="446" ht="12.75" customHeight="1">
      <c r="D446" s="14"/>
      <c r="E446" s="14"/>
      <c r="F446" s="14"/>
      <c r="G446" s="14"/>
      <c r="H446" s="12"/>
      <c r="I446" s="18"/>
      <c r="T446" s="13"/>
      <c r="AD446" s="13"/>
    </row>
    <row r="447" ht="12.75" customHeight="1">
      <c r="D447" s="14"/>
      <c r="E447" s="14"/>
      <c r="F447" s="14"/>
      <c r="G447" s="14"/>
      <c r="H447" s="12"/>
      <c r="I447" s="18"/>
      <c r="T447" s="13"/>
      <c r="AD447" s="13"/>
    </row>
    <row r="448" ht="12.75" customHeight="1">
      <c r="D448" s="14"/>
      <c r="E448" s="14"/>
      <c r="F448" s="14"/>
      <c r="G448" s="14"/>
      <c r="H448" s="12"/>
      <c r="I448" s="18"/>
      <c r="T448" s="13"/>
      <c r="AD448" s="13"/>
    </row>
    <row r="449" ht="12.75" customHeight="1">
      <c r="D449" s="14"/>
      <c r="E449" s="14"/>
      <c r="F449" s="14"/>
      <c r="G449" s="14"/>
      <c r="H449" s="12"/>
      <c r="I449" s="18"/>
      <c r="T449" s="13"/>
      <c r="AD449" s="13"/>
    </row>
    <row r="450" ht="12.75" customHeight="1">
      <c r="D450" s="14"/>
      <c r="E450" s="14"/>
      <c r="F450" s="14"/>
      <c r="G450" s="14"/>
      <c r="H450" s="12"/>
      <c r="I450" s="18"/>
      <c r="T450" s="13"/>
      <c r="AD450" s="13"/>
    </row>
    <row r="451" ht="12.75" customHeight="1">
      <c r="D451" s="14"/>
      <c r="E451" s="14"/>
      <c r="F451" s="14"/>
      <c r="G451" s="14"/>
      <c r="H451" s="12"/>
      <c r="I451" s="18"/>
      <c r="T451" s="13"/>
      <c r="AD451" s="13"/>
    </row>
    <row r="452" ht="12.75" customHeight="1">
      <c r="D452" s="14"/>
      <c r="E452" s="14"/>
      <c r="F452" s="14"/>
      <c r="G452" s="14"/>
      <c r="H452" s="12"/>
      <c r="I452" s="18"/>
      <c r="T452" s="13"/>
      <c r="AD452" s="13"/>
    </row>
    <row r="453" ht="12.75" customHeight="1">
      <c r="D453" s="14"/>
      <c r="E453" s="14"/>
      <c r="F453" s="14"/>
      <c r="G453" s="14"/>
      <c r="H453" s="12"/>
      <c r="I453" s="18"/>
      <c r="T453" s="13"/>
      <c r="AD453" s="13"/>
    </row>
    <row r="454" ht="12.75" customHeight="1">
      <c r="D454" s="14"/>
      <c r="E454" s="14"/>
      <c r="F454" s="14"/>
      <c r="G454" s="14"/>
      <c r="H454" s="12"/>
      <c r="I454" s="18"/>
      <c r="T454" s="13"/>
      <c r="AD454" s="13"/>
    </row>
    <row r="455" ht="12.75" customHeight="1">
      <c r="D455" s="14"/>
      <c r="E455" s="14"/>
      <c r="F455" s="14"/>
      <c r="G455" s="14"/>
      <c r="H455" s="12"/>
      <c r="I455" s="18"/>
      <c r="T455" s="13"/>
      <c r="AD455" s="13"/>
    </row>
    <row r="456" ht="12.75" customHeight="1">
      <c r="D456" s="14"/>
      <c r="E456" s="14"/>
      <c r="F456" s="14"/>
      <c r="G456" s="14"/>
      <c r="H456" s="12"/>
      <c r="I456" s="18"/>
      <c r="T456" s="13"/>
      <c r="AD456" s="13"/>
    </row>
    <row r="457" ht="12.75" customHeight="1">
      <c r="D457" s="14"/>
      <c r="E457" s="14"/>
      <c r="F457" s="14"/>
      <c r="G457" s="14"/>
      <c r="H457" s="12"/>
      <c r="I457" s="18"/>
      <c r="T457" s="13"/>
      <c r="AD457" s="13"/>
    </row>
    <row r="458" ht="12.75" customHeight="1">
      <c r="D458" s="14"/>
      <c r="E458" s="14"/>
      <c r="F458" s="14"/>
      <c r="G458" s="14"/>
      <c r="H458" s="12"/>
      <c r="I458" s="18"/>
      <c r="T458" s="13"/>
      <c r="AD458" s="13"/>
    </row>
    <row r="459" ht="12.75" customHeight="1">
      <c r="D459" s="14"/>
      <c r="E459" s="14"/>
      <c r="F459" s="14"/>
      <c r="G459" s="14"/>
      <c r="H459" s="12"/>
      <c r="I459" s="18"/>
      <c r="T459" s="13"/>
      <c r="AD459" s="13"/>
    </row>
    <row r="460" ht="12.75" customHeight="1">
      <c r="D460" s="14"/>
      <c r="E460" s="14"/>
      <c r="F460" s="14"/>
      <c r="G460" s="14"/>
      <c r="H460" s="12"/>
      <c r="I460" s="18"/>
      <c r="T460" s="13"/>
      <c r="AD460" s="13"/>
    </row>
    <row r="461" ht="12.75" customHeight="1">
      <c r="D461" s="14"/>
      <c r="E461" s="14"/>
      <c r="F461" s="14"/>
      <c r="G461" s="14"/>
      <c r="H461" s="12"/>
      <c r="I461" s="18"/>
      <c r="T461" s="13"/>
      <c r="AD461" s="13"/>
    </row>
    <row r="462" ht="12.75" customHeight="1">
      <c r="D462" s="14"/>
      <c r="E462" s="14"/>
      <c r="F462" s="14"/>
      <c r="G462" s="14"/>
      <c r="H462" s="12"/>
      <c r="I462" s="18"/>
      <c r="T462" s="13"/>
      <c r="AD462" s="13"/>
    </row>
    <row r="463" ht="12.75" customHeight="1">
      <c r="D463" s="14"/>
      <c r="E463" s="14"/>
      <c r="F463" s="14"/>
      <c r="G463" s="14"/>
      <c r="H463" s="12"/>
      <c r="I463" s="18"/>
      <c r="T463" s="13"/>
      <c r="AD463" s="13"/>
    </row>
    <row r="464" ht="12.75" customHeight="1">
      <c r="D464" s="14"/>
      <c r="E464" s="14"/>
      <c r="F464" s="14"/>
      <c r="G464" s="14"/>
      <c r="H464" s="12"/>
      <c r="I464" s="18"/>
      <c r="T464" s="13"/>
      <c r="AD464" s="13"/>
    </row>
    <row r="465" ht="12.75" customHeight="1">
      <c r="D465" s="14"/>
      <c r="E465" s="14"/>
      <c r="F465" s="14"/>
      <c r="G465" s="14"/>
      <c r="H465" s="12"/>
      <c r="I465" s="18"/>
      <c r="T465" s="13"/>
      <c r="AD465" s="13"/>
    </row>
    <row r="466" ht="12.75" customHeight="1">
      <c r="D466" s="14"/>
      <c r="E466" s="14"/>
      <c r="F466" s="14"/>
      <c r="G466" s="14"/>
      <c r="H466" s="12"/>
      <c r="I466" s="18"/>
      <c r="T466" s="13"/>
      <c r="AD466" s="13"/>
    </row>
    <row r="467" ht="12.75" customHeight="1">
      <c r="D467" s="14"/>
      <c r="E467" s="14"/>
      <c r="F467" s="14"/>
      <c r="G467" s="14"/>
      <c r="H467" s="12"/>
      <c r="I467" s="18"/>
      <c r="T467" s="13"/>
      <c r="AD467" s="13"/>
    </row>
    <row r="468" ht="12.75" customHeight="1">
      <c r="D468" s="14"/>
      <c r="E468" s="14"/>
      <c r="F468" s="14"/>
      <c r="G468" s="14"/>
      <c r="H468" s="12"/>
      <c r="I468" s="18"/>
      <c r="T468" s="13"/>
      <c r="AD468" s="13"/>
    </row>
    <row r="469" ht="12.75" customHeight="1">
      <c r="D469" s="14"/>
      <c r="E469" s="14"/>
      <c r="F469" s="14"/>
      <c r="G469" s="14"/>
      <c r="H469" s="12"/>
      <c r="I469" s="18"/>
      <c r="T469" s="13"/>
      <c r="AD469" s="13"/>
    </row>
    <row r="470" ht="12.75" customHeight="1">
      <c r="D470" s="14"/>
      <c r="E470" s="14"/>
      <c r="F470" s="14"/>
      <c r="G470" s="14"/>
      <c r="H470" s="12"/>
      <c r="I470" s="18"/>
      <c r="T470" s="13"/>
      <c r="AD470" s="13"/>
    </row>
    <row r="471" ht="12.75" customHeight="1">
      <c r="D471" s="14"/>
      <c r="E471" s="14"/>
      <c r="F471" s="14"/>
      <c r="G471" s="14"/>
      <c r="H471" s="12"/>
      <c r="I471" s="18"/>
      <c r="T471" s="13"/>
      <c r="AD471" s="13"/>
    </row>
    <row r="472" ht="12.75" customHeight="1">
      <c r="D472" s="14"/>
      <c r="E472" s="14"/>
      <c r="F472" s="14"/>
      <c r="G472" s="14"/>
      <c r="H472" s="12"/>
      <c r="I472" s="18"/>
      <c r="T472" s="13"/>
      <c r="AD472" s="13"/>
    </row>
    <row r="473" ht="12.75" customHeight="1">
      <c r="D473" s="14"/>
      <c r="E473" s="14"/>
      <c r="F473" s="14"/>
      <c r="G473" s="14"/>
      <c r="H473" s="12"/>
      <c r="I473" s="18"/>
      <c r="T473" s="13"/>
      <c r="AD473" s="13"/>
    </row>
    <row r="474" ht="12.75" customHeight="1">
      <c r="D474" s="14"/>
      <c r="E474" s="14"/>
      <c r="F474" s="14"/>
      <c r="G474" s="14"/>
      <c r="H474" s="12"/>
      <c r="I474" s="18"/>
      <c r="T474" s="13"/>
      <c r="AD474" s="13"/>
    </row>
    <row r="475" ht="12.75" customHeight="1">
      <c r="D475" s="14"/>
      <c r="E475" s="14"/>
      <c r="F475" s="14"/>
      <c r="G475" s="14"/>
      <c r="H475" s="12"/>
      <c r="I475" s="18"/>
      <c r="T475" s="13"/>
      <c r="AD475" s="13"/>
    </row>
    <row r="476" ht="12.75" customHeight="1">
      <c r="D476" s="14"/>
      <c r="E476" s="14"/>
      <c r="F476" s="14"/>
      <c r="G476" s="14"/>
      <c r="H476" s="12"/>
      <c r="I476" s="18"/>
      <c r="T476" s="13"/>
      <c r="AD476" s="13"/>
    </row>
    <row r="477" ht="12.75" customHeight="1">
      <c r="D477" s="14"/>
      <c r="E477" s="14"/>
      <c r="F477" s="14"/>
      <c r="G477" s="14"/>
      <c r="H477" s="12"/>
      <c r="I477" s="18"/>
      <c r="T477" s="13"/>
      <c r="AD477" s="13"/>
    </row>
    <row r="478" ht="12.75" customHeight="1">
      <c r="D478" s="14"/>
      <c r="E478" s="14"/>
      <c r="F478" s="14"/>
      <c r="G478" s="14"/>
      <c r="H478" s="12"/>
      <c r="I478" s="18"/>
      <c r="T478" s="13"/>
      <c r="AD478" s="13"/>
    </row>
    <row r="479" ht="12.75" customHeight="1">
      <c r="D479" s="14"/>
      <c r="E479" s="14"/>
      <c r="F479" s="14"/>
      <c r="G479" s="14"/>
      <c r="H479" s="12"/>
      <c r="I479" s="18"/>
      <c r="T479" s="13"/>
      <c r="AD479" s="13"/>
    </row>
    <row r="480" ht="12.75" customHeight="1">
      <c r="D480" s="14"/>
      <c r="E480" s="14"/>
      <c r="F480" s="14"/>
      <c r="G480" s="14"/>
      <c r="H480" s="12"/>
      <c r="I480" s="18"/>
      <c r="T480" s="13"/>
      <c r="AD480" s="13"/>
    </row>
    <row r="481" ht="12.75" customHeight="1">
      <c r="D481" s="14"/>
      <c r="E481" s="14"/>
      <c r="F481" s="14"/>
      <c r="G481" s="14"/>
      <c r="H481" s="12"/>
      <c r="I481" s="18"/>
      <c r="T481" s="13"/>
      <c r="AD481" s="13"/>
    </row>
    <row r="482" ht="12.75" customHeight="1">
      <c r="D482" s="14"/>
      <c r="E482" s="14"/>
      <c r="F482" s="14"/>
      <c r="G482" s="14"/>
      <c r="H482" s="12"/>
      <c r="I482" s="18"/>
      <c r="T482" s="13"/>
      <c r="AD482" s="13"/>
    </row>
    <row r="483" ht="12.75" customHeight="1">
      <c r="D483" s="14"/>
      <c r="E483" s="14"/>
      <c r="F483" s="14"/>
      <c r="G483" s="14"/>
      <c r="H483" s="12"/>
      <c r="I483" s="18"/>
      <c r="T483" s="13"/>
      <c r="AD483" s="13"/>
    </row>
    <row r="484" ht="12.75" customHeight="1">
      <c r="D484" s="14"/>
      <c r="E484" s="14"/>
      <c r="F484" s="14"/>
      <c r="G484" s="14"/>
      <c r="H484" s="12"/>
      <c r="I484" s="18"/>
      <c r="T484" s="13"/>
      <c r="AD484" s="13"/>
    </row>
    <row r="485" ht="12.75" customHeight="1">
      <c r="D485" s="14"/>
      <c r="E485" s="14"/>
      <c r="F485" s="14"/>
      <c r="G485" s="14"/>
      <c r="H485" s="12"/>
      <c r="I485" s="18"/>
      <c r="T485" s="13"/>
      <c r="AD485" s="13"/>
    </row>
    <row r="486" ht="12.75" customHeight="1">
      <c r="D486" s="14"/>
      <c r="E486" s="14"/>
      <c r="F486" s="14"/>
      <c r="G486" s="14"/>
      <c r="H486" s="12"/>
      <c r="I486" s="18"/>
      <c r="T486" s="13"/>
      <c r="AD486" s="13"/>
    </row>
    <row r="487" ht="12.75" customHeight="1">
      <c r="D487" s="14"/>
      <c r="E487" s="14"/>
      <c r="F487" s="14"/>
      <c r="G487" s="14"/>
      <c r="H487" s="12"/>
      <c r="I487" s="18"/>
      <c r="T487" s="13"/>
      <c r="AD487" s="13"/>
    </row>
    <row r="488" ht="12.75" customHeight="1">
      <c r="D488" s="14"/>
      <c r="E488" s="14"/>
      <c r="F488" s="14"/>
      <c r="G488" s="14"/>
      <c r="H488" s="12"/>
      <c r="I488" s="18"/>
      <c r="T488" s="13"/>
      <c r="AD488" s="13"/>
    </row>
    <row r="489" ht="12.75" customHeight="1">
      <c r="D489" s="14"/>
      <c r="E489" s="14"/>
      <c r="F489" s="14"/>
      <c r="G489" s="14"/>
      <c r="H489" s="12"/>
      <c r="I489" s="18"/>
      <c r="T489" s="13"/>
      <c r="AD489" s="13"/>
    </row>
    <row r="490" ht="12.75" customHeight="1">
      <c r="D490" s="14"/>
      <c r="E490" s="14"/>
      <c r="F490" s="14"/>
      <c r="G490" s="14"/>
      <c r="H490" s="12"/>
      <c r="I490" s="18"/>
      <c r="T490" s="13"/>
      <c r="AD490" s="13"/>
    </row>
    <row r="491" ht="12.75" customHeight="1">
      <c r="D491" s="14"/>
      <c r="E491" s="14"/>
      <c r="F491" s="14"/>
      <c r="G491" s="14"/>
      <c r="H491" s="12"/>
      <c r="I491" s="18"/>
      <c r="T491" s="13"/>
      <c r="AD491" s="13"/>
    </row>
    <row r="492" ht="12.75" customHeight="1">
      <c r="D492" s="14"/>
      <c r="E492" s="14"/>
      <c r="F492" s="14"/>
      <c r="G492" s="14"/>
      <c r="H492" s="12"/>
      <c r="I492" s="18"/>
      <c r="T492" s="13"/>
      <c r="AD492" s="13"/>
    </row>
    <row r="493" ht="12.75" customHeight="1">
      <c r="D493" s="14"/>
      <c r="E493" s="14"/>
      <c r="F493" s="14"/>
      <c r="G493" s="14"/>
      <c r="H493" s="12"/>
      <c r="I493" s="18"/>
      <c r="T493" s="13"/>
      <c r="AD493" s="13"/>
    </row>
    <row r="494" ht="12.75" customHeight="1">
      <c r="D494" s="14"/>
      <c r="E494" s="14"/>
      <c r="F494" s="14"/>
      <c r="G494" s="14"/>
      <c r="H494" s="12"/>
      <c r="I494" s="18"/>
      <c r="T494" s="13"/>
      <c r="AD494" s="13"/>
    </row>
    <row r="495" ht="12.75" customHeight="1">
      <c r="D495" s="14"/>
      <c r="E495" s="14"/>
      <c r="F495" s="14"/>
      <c r="G495" s="14"/>
      <c r="H495" s="12"/>
      <c r="I495" s="18"/>
      <c r="T495" s="13"/>
      <c r="AD495" s="13"/>
    </row>
    <row r="496" ht="12.75" customHeight="1">
      <c r="D496" s="14"/>
      <c r="E496" s="14"/>
      <c r="F496" s="14"/>
      <c r="G496" s="14"/>
      <c r="H496" s="12"/>
      <c r="I496" s="18"/>
      <c r="T496" s="13"/>
      <c r="AD496" s="13"/>
    </row>
    <row r="497" ht="12.75" customHeight="1">
      <c r="D497" s="14"/>
      <c r="E497" s="14"/>
      <c r="F497" s="14"/>
      <c r="G497" s="14"/>
      <c r="H497" s="12"/>
      <c r="I497" s="18"/>
      <c r="T497" s="13"/>
      <c r="AD497" s="13"/>
    </row>
    <row r="498" ht="12.75" customHeight="1">
      <c r="D498" s="14"/>
      <c r="E498" s="14"/>
      <c r="F498" s="14"/>
      <c r="G498" s="14"/>
      <c r="H498" s="12"/>
      <c r="I498" s="18"/>
      <c r="T498" s="13"/>
      <c r="AD498" s="13"/>
    </row>
    <row r="499" ht="12.75" customHeight="1">
      <c r="D499" s="14"/>
      <c r="E499" s="14"/>
      <c r="F499" s="14"/>
      <c r="G499" s="14"/>
      <c r="H499" s="12"/>
      <c r="I499" s="18"/>
      <c r="T499" s="13"/>
      <c r="AD499" s="13"/>
    </row>
    <row r="500" ht="12.75" customHeight="1">
      <c r="D500" s="14"/>
      <c r="E500" s="14"/>
      <c r="F500" s="14"/>
      <c r="G500" s="14"/>
      <c r="H500" s="12"/>
      <c r="I500" s="18"/>
      <c r="T500" s="13"/>
      <c r="AD500" s="13"/>
    </row>
    <row r="501" ht="12.75" customHeight="1">
      <c r="D501" s="14"/>
      <c r="E501" s="14"/>
      <c r="F501" s="14"/>
      <c r="G501" s="14"/>
      <c r="H501" s="12"/>
      <c r="I501" s="18"/>
      <c r="T501" s="13"/>
      <c r="AD501" s="13"/>
    </row>
    <row r="502" ht="12.75" customHeight="1">
      <c r="D502" s="14"/>
      <c r="E502" s="14"/>
      <c r="F502" s="14"/>
      <c r="G502" s="14"/>
      <c r="H502" s="12"/>
      <c r="I502" s="18"/>
      <c r="T502" s="13"/>
      <c r="AD502" s="13"/>
    </row>
    <row r="503" ht="12.75" customHeight="1">
      <c r="D503" s="14"/>
      <c r="E503" s="14"/>
      <c r="F503" s="14"/>
      <c r="G503" s="14"/>
      <c r="H503" s="12"/>
      <c r="I503" s="18"/>
      <c r="T503" s="13"/>
      <c r="AD503" s="13"/>
    </row>
    <row r="504" ht="12.75" customHeight="1">
      <c r="D504" s="14"/>
      <c r="E504" s="14"/>
      <c r="F504" s="14"/>
      <c r="G504" s="14"/>
      <c r="H504" s="12"/>
      <c r="I504" s="18"/>
      <c r="T504" s="13"/>
      <c r="AD504" s="13"/>
    </row>
    <row r="505" ht="12.75" customHeight="1">
      <c r="D505" s="14"/>
      <c r="E505" s="14"/>
      <c r="F505" s="14"/>
      <c r="G505" s="14"/>
      <c r="H505" s="12"/>
      <c r="I505" s="18"/>
      <c r="T505" s="13"/>
      <c r="AD505" s="13"/>
    </row>
    <row r="506" ht="12.75" customHeight="1">
      <c r="D506" s="14"/>
      <c r="E506" s="14"/>
      <c r="F506" s="14"/>
      <c r="G506" s="14"/>
      <c r="H506" s="12"/>
      <c r="I506" s="18"/>
      <c r="T506" s="13"/>
      <c r="AD506" s="13"/>
    </row>
    <row r="507" ht="12.75" customHeight="1">
      <c r="D507" s="14"/>
      <c r="E507" s="14"/>
      <c r="F507" s="14"/>
      <c r="G507" s="14"/>
      <c r="H507" s="12"/>
      <c r="I507" s="18"/>
      <c r="T507" s="13"/>
      <c r="AD507" s="13"/>
    </row>
    <row r="508" ht="12.75" customHeight="1">
      <c r="D508" s="14"/>
      <c r="E508" s="14"/>
      <c r="F508" s="14"/>
      <c r="G508" s="14"/>
      <c r="H508" s="12"/>
      <c r="I508" s="18"/>
      <c r="T508" s="13"/>
      <c r="AD508" s="13"/>
    </row>
    <row r="509" ht="12.75" customHeight="1">
      <c r="D509" s="14"/>
      <c r="E509" s="14"/>
      <c r="F509" s="14"/>
      <c r="G509" s="14"/>
      <c r="H509" s="12"/>
      <c r="I509" s="18"/>
      <c r="T509" s="13"/>
      <c r="AD509" s="13"/>
    </row>
    <row r="510" ht="12.75" customHeight="1">
      <c r="D510" s="14"/>
      <c r="E510" s="14"/>
      <c r="F510" s="14"/>
      <c r="G510" s="14"/>
      <c r="H510" s="12"/>
      <c r="I510" s="18"/>
      <c r="T510" s="13"/>
      <c r="AD510" s="13"/>
    </row>
    <row r="511" ht="12.75" customHeight="1">
      <c r="D511" s="14"/>
      <c r="E511" s="14"/>
      <c r="F511" s="14"/>
      <c r="G511" s="14"/>
      <c r="H511" s="12"/>
      <c r="I511" s="18"/>
      <c r="T511" s="13"/>
      <c r="AD511" s="13"/>
    </row>
    <row r="512" ht="12.75" customHeight="1">
      <c r="D512" s="14"/>
      <c r="E512" s="14"/>
      <c r="F512" s="14"/>
      <c r="G512" s="14"/>
      <c r="H512" s="12"/>
      <c r="I512" s="18"/>
      <c r="T512" s="13"/>
      <c r="AD512" s="13"/>
    </row>
    <row r="513" ht="12.75" customHeight="1">
      <c r="D513" s="14"/>
      <c r="E513" s="14"/>
      <c r="F513" s="14"/>
      <c r="G513" s="14"/>
      <c r="H513" s="12"/>
      <c r="I513" s="18"/>
      <c r="T513" s="13"/>
      <c r="AD513" s="13"/>
    </row>
    <row r="514" ht="12.75" customHeight="1">
      <c r="D514" s="14"/>
      <c r="E514" s="14"/>
      <c r="F514" s="14"/>
      <c r="G514" s="14"/>
      <c r="H514" s="12"/>
      <c r="I514" s="18"/>
      <c r="T514" s="13"/>
      <c r="AD514" s="13"/>
    </row>
    <row r="515" ht="12.75" customHeight="1">
      <c r="D515" s="14"/>
      <c r="E515" s="14"/>
      <c r="F515" s="14"/>
      <c r="G515" s="14"/>
      <c r="H515" s="12"/>
      <c r="I515" s="18"/>
      <c r="T515" s="13"/>
      <c r="AD515" s="13"/>
    </row>
    <row r="516" ht="12.75" customHeight="1">
      <c r="D516" s="14"/>
      <c r="E516" s="14"/>
      <c r="F516" s="14"/>
      <c r="G516" s="14"/>
      <c r="H516" s="12"/>
      <c r="I516" s="18"/>
      <c r="T516" s="13"/>
      <c r="AD516" s="13"/>
    </row>
    <row r="517" ht="12.75" customHeight="1">
      <c r="D517" s="14"/>
      <c r="E517" s="14"/>
      <c r="F517" s="14"/>
      <c r="G517" s="14"/>
      <c r="H517" s="12"/>
      <c r="I517" s="18"/>
      <c r="T517" s="13"/>
      <c r="AD517" s="13"/>
    </row>
    <row r="518" ht="12.75" customHeight="1">
      <c r="D518" s="14"/>
      <c r="E518" s="14"/>
      <c r="F518" s="14"/>
      <c r="G518" s="14"/>
      <c r="H518" s="12"/>
      <c r="I518" s="18"/>
      <c r="T518" s="13"/>
      <c r="AD518" s="13"/>
    </row>
    <row r="519" ht="12.75" customHeight="1">
      <c r="D519" s="14"/>
      <c r="E519" s="14"/>
      <c r="F519" s="14"/>
      <c r="G519" s="14"/>
      <c r="H519" s="12"/>
      <c r="I519" s="18"/>
      <c r="T519" s="13"/>
      <c r="AD519" s="13"/>
    </row>
    <row r="520" ht="12.75" customHeight="1">
      <c r="D520" s="14"/>
      <c r="E520" s="14"/>
      <c r="F520" s="14"/>
      <c r="G520" s="14"/>
      <c r="H520" s="12"/>
      <c r="I520" s="18"/>
      <c r="T520" s="13"/>
      <c r="AD520" s="13"/>
    </row>
    <row r="521" ht="12.75" customHeight="1">
      <c r="D521" s="14"/>
      <c r="E521" s="14"/>
      <c r="F521" s="14"/>
      <c r="G521" s="14"/>
      <c r="H521" s="12"/>
      <c r="I521" s="18"/>
      <c r="T521" s="13"/>
      <c r="AD521" s="13"/>
    </row>
    <row r="522" ht="12.75" customHeight="1">
      <c r="D522" s="14"/>
      <c r="E522" s="14"/>
      <c r="F522" s="14"/>
      <c r="G522" s="14"/>
      <c r="H522" s="12"/>
      <c r="I522" s="18"/>
      <c r="T522" s="13"/>
      <c r="AD522" s="13"/>
    </row>
    <row r="523" ht="12.75" customHeight="1">
      <c r="D523" s="14"/>
      <c r="E523" s="14"/>
      <c r="F523" s="14"/>
      <c r="G523" s="14"/>
      <c r="H523" s="12"/>
      <c r="I523" s="18"/>
      <c r="T523" s="13"/>
      <c r="AD523" s="13"/>
    </row>
    <row r="524" ht="12.75" customHeight="1">
      <c r="D524" s="14"/>
      <c r="E524" s="14"/>
      <c r="F524" s="14"/>
      <c r="G524" s="14"/>
      <c r="H524" s="12"/>
      <c r="I524" s="18"/>
      <c r="T524" s="13"/>
      <c r="AD524" s="13"/>
    </row>
    <row r="525" ht="12.75" customHeight="1">
      <c r="D525" s="14"/>
      <c r="E525" s="14"/>
      <c r="F525" s="14"/>
      <c r="G525" s="14"/>
      <c r="H525" s="12"/>
      <c r="I525" s="18"/>
      <c r="T525" s="13"/>
      <c r="AD525" s="13"/>
    </row>
    <row r="526" ht="12.75" customHeight="1">
      <c r="D526" s="14"/>
      <c r="E526" s="14"/>
      <c r="F526" s="14"/>
      <c r="G526" s="14"/>
      <c r="H526" s="12"/>
      <c r="I526" s="18"/>
      <c r="T526" s="13"/>
      <c r="AD526" s="13"/>
    </row>
    <row r="527" ht="12.75" customHeight="1">
      <c r="D527" s="14"/>
      <c r="E527" s="14"/>
      <c r="F527" s="14"/>
      <c r="G527" s="14"/>
      <c r="H527" s="12"/>
      <c r="I527" s="18"/>
      <c r="T527" s="13"/>
      <c r="AD527" s="13"/>
    </row>
    <row r="528" ht="12.75" customHeight="1">
      <c r="D528" s="14"/>
      <c r="E528" s="14"/>
      <c r="F528" s="14"/>
      <c r="G528" s="14"/>
      <c r="H528" s="12"/>
      <c r="I528" s="18"/>
      <c r="T528" s="13"/>
      <c r="AD528" s="13"/>
    </row>
    <row r="529" ht="12.75" customHeight="1">
      <c r="D529" s="14"/>
      <c r="E529" s="14"/>
      <c r="F529" s="14"/>
      <c r="G529" s="14"/>
      <c r="H529" s="12"/>
      <c r="I529" s="18"/>
      <c r="T529" s="13"/>
      <c r="AD529" s="13"/>
    </row>
    <row r="530" ht="12.75" customHeight="1">
      <c r="D530" s="14"/>
      <c r="E530" s="14"/>
      <c r="F530" s="14"/>
      <c r="G530" s="14"/>
      <c r="H530" s="12"/>
      <c r="I530" s="18"/>
      <c r="T530" s="13"/>
      <c r="AD530" s="13"/>
    </row>
    <row r="531" ht="12.75" customHeight="1">
      <c r="D531" s="14"/>
      <c r="E531" s="14"/>
      <c r="F531" s="14"/>
      <c r="G531" s="14"/>
      <c r="H531" s="12"/>
      <c r="I531" s="18"/>
      <c r="T531" s="13"/>
      <c r="AD531" s="13"/>
    </row>
    <row r="532" ht="12.75" customHeight="1">
      <c r="D532" s="14"/>
      <c r="E532" s="14"/>
      <c r="F532" s="14"/>
      <c r="G532" s="14"/>
      <c r="H532" s="12"/>
      <c r="I532" s="18"/>
      <c r="T532" s="13"/>
      <c r="AD532" s="13"/>
    </row>
    <row r="533" ht="12.75" customHeight="1">
      <c r="D533" s="14"/>
      <c r="E533" s="14"/>
      <c r="F533" s="14"/>
      <c r="G533" s="14"/>
      <c r="H533" s="12"/>
      <c r="I533" s="18"/>
      <c r="T533" s="13"/>
      <c r="AD533" s="13"/>
    </row>
    <row r="534" ht="12.75" customHeight="1">
      <c r="D534" s="14"/>
      <c r="E534" s="14"/>
      <c r="F534" s="14"/>
      <c r="G534" s="14"/>
      <c r="H534" s="12"/>
      <c r="I534" s="18"/>
      <c r="T534" s="13"/>
      <c r="AD534" s="13"/>
    </row>
    <row r="535" ht="12.75" customHeight="1">
      <c r="D535" s="14"/>
      <c r="E535" s="14"/>
      <c r="F535" s="14"/>
      <c r="G535" s="14"/>
      <c r="H535" s="12"/>
      <c r="I535" s="18"/>
      <c r="T535" s="13"/>
      <c r="AD535" s="13"/>
    </row>
    <row r="536" ht="12.75" customHeight="1">
      <c r="D536" s="14"/>
      <c r="E536" s="14"/>
      <c r="F536" s="14"/>
      <c r="G536" s="14"/>
      <c r="H536" s="12"/>
      <c r="I536" s="18"/>
      <c r="T536" s="13"/>
      <c r="AD536" s="13"/>
    </row>
    <row r="537" ht="12.75" customHeight="1">
      <c r="D537" s="14"/>
      <c r="E537" s="14"/>
      <c r="F537" s="14"/>
      <c r="G537" s="14"/>
      <c r="H537" s="12"/>
      <c r="I537" s="18"/>
      <c r="T537" s="13"/>
      <c r="AD537" s="13"/>
    </row>
    <row r="538" ht="12.75" customHeight="1">
      <c r="D538" s="14"/>
      <c r="E538" s="14"/>
      <c r="F538" s="14"/>
      <c r="G538" s="14"/>
      <c r="H538" s="12"/>
      <c r="I538" s="18"/>
      <c r="T538" s="13"/>
      <c r="AD538" s="13"/>
    </row>
    <row r="539" ht="12.75" customHeight="1">
      <c r="D539" s="14"/>
      <c r="E539" s="14"/>
      <c r="F539" s="14"/>
      <c r="G539" s="14"/>
      <c r="H539" s="12"/>
      <c r="I539" s="18"/>
      <c r="T539" s="13"/>
      <c r="AD539" s="13"/>
    </row>
    <row r="540" ht="12.75" customHeight="1">
      <c r="D540" s="14"/>
      <c r="E540" s="14"/>
      <c r="F540" s="14"/>
      <c r="G540" s="14"/>
      <c r="H540" s="12"/>
      <c r="I540" s="18"/>
      <c r="T540" s="13"/>
      <c r="AD540" s="13"/>
    </row>
    <row r="541" ht="12.75" customHeight="1">
      <c r="D541" s="14"/>
      <c r="E541" s="14"/>
      <c r="F541" s="14"/>
      <c r="G541" s="14"/>
      <c r="H541" s="12"/>
      <c r="I541" s="18"/>
      <c r="T541" s="13"/>
      <c r="AD541" s="13"/>
    </row>
    <row r="542" ht="12.75" customHeight="1">
      <c r="D542" s="14"/>
      <c r="E542" s="14"/>
      <c r="F542" s="14"/>
      <c r="G542" s="14"/>
      <c r="H542" s="12"/>
      <c r="I542" s="18"/>
      <c r="T542" s="13"/>
      <c r="AD542" s="13"/>
    </row>
    <row r="543" ht="12.75" customHeight="1">
      <c r="D543" s="14"/>
      <c r="E543" s="14"/>
      <c r="F543" s="14"/>
      <c r="G543" s="14"/>
      <c r="H543" s="12"/>
      <c r="I543" s="18"/>
      <c r="T543" s="13"/>
      <c r="AD543" s="13"/>
    </row>
    <row r="544" ht="12.75" customHeight="1">
      <c r="D544" s="14"/>
      <c r="E544" s="14"/>
      <c r="F544" s="14"/>
      <c r="G544" s="14"/>
      <c r="H544" s="12"/>
      <c r="I544" s="18"/>
      <c r="T544" s="13"/>
      <c r="AD544" s="13"/>
    </row>
    <row r="545" ht="12.75" customHeight="1">
      <c r="D545" s="14"/>
      <c r="E545" s="14"/>
      <c r="F545" s="14"/>
      <c r="G545" s="14"/>
      <c r="H545" s="12"/>
      <c r="I545" s="18"/>
      <c r="T545" s="13"/>
      <c r="AD545" s="13"/>
    </row>
    <row r="546" ht="12.75" customHeight="1">
      <c r="D546" s="14"/>
      <c r="E546" s="14"/>
      <c r="F546" s="14"/>
      <c r="G546" s="14"/>
      <c r="H546" s="12"/>
      <c r="I546" s="18"/>
      <c r="T546" s="13"/>
      <c r="AD546" s="13"/>
    </row>
    <row r="547" ht="12.75" customHeight="1">
      <c r="D547" s="14"/>
      <c r="E547" s="14"/>
      <c r="F547" s="14"/>
      <c r="G547" s="14"/>
      <c r="H547" s="12"/>
      <c r="I547" s="18"/>
      <c r="T547" s="13"/>
      <c r="AD547" s="13"/>
    </row>
    <row r="548" ht="12.75" customHeight="1">
      <c r="D548" s="14"/>
      <c r="E548" s="14"/>
      <c r="F548" s="14"/>
      <c r="G548" s="14"/>
      <c r="H548" s="12"/>
      <c r="I548" s="18"/>
      <c r="T548" s="13"/>
      <c r="AD548" s="13"/>
    </row>
    <row r="549" ht="12.75" customHeight="1">
      <c r="D549" s="14"/>
      <c r="E549" s="14"/>
      <c r="F549" s="14"/>
      <c r="G549" s="14"/>
      <c r="H549" s="12"/>
      <c r="I549" s="18"/>
      <c r="T549" s="13"/>
      <c r="AD549" s="13"/>
    </row>
    <row r="550" ht="12.75" customHeight="1">
      <c r="D550" s="14"/>
      <c r="E550" s="14"/>
      <c r="F550" s="14"/>
      <c r="G550" s="14"/>
      <c r="H550" s="12"/>
      <c r="I550" s="18"/>
      <c r="T550" s="13"/>
      <c r="AD550" s="13"/>
    </row>
    <row r="551" ht="12.75" customHeight="1">
      <c r="D551" s="14"/>
      <c r="E551" s="14"/>
      <c r="F551" s="14"/>
      <c r="G551" s="14"/>
      <c r="H551" s="12"/>
      <c r="I551" s="18"/>
      <c r="T551" s="13"/>
      <c r="AD551" s="13"/>
    </row>
    <row r="552" ht="12.75" customHeight="1">
      <c r="D552" s="14"/>
      <c r="E552" s="14"/>
      <c r="F552" s="14"/>
      <c r="G552" s="14"/>
      <c r="H552" s="12"/>
      <c r="I552" s="18"/>
      <c r="T552" s="13"/>
      <c r="AD552" s="13"/>
    </row>
    <row r="553" ht="12.75" customHeight="1">
      <c r="D553" s="14"/>
      <c r="E553" s="14"/>
      <c r="F553" s="14"/>
      <c r="G553" s="14"/>
      <c r="H553" s="12"/>
      <c r="I553" s="18"/>
      <c r="T553" s="13"/>
      <c r="AD553" s="13"/>
    </row>
    <row r="554" ht="12.75" customHeight="1">
      <c r="D554" s="14"/>
      <c r="E554" s="14"/>
      <c r="F554" s="14"/>
      <c r="G554" s="14"/>
      <c r="H554" s="12"/>
      <c r="I554" s="18"/>
      <c r="T554" s="13"/>
      <c r="AD554" s="13"/>
    </row>
    <row r="555" ht="12.75" customHeight="1">
      <c r="D555" s="14"/>
      <c r="E555" s="14"/>
      <c r="F555" s="14"/>
      <c r="G555" s="14"/>
      <c r="H555" s="12"/>
      <c r="I555" s="18"/>
      <c r="T555" s="13"/>
      <c r="AD555" s="13"/>
    </row>
    <row r="556" ht="12.75" customHeight="1">
      <c r="D556" s="14"/>
      <c r="E556" s="14"/>
      <c r="F556" s="14"/>
      <c r="G556" s="14"/>
      <c r="H556" s="12"/>
      <c r="I556" s="18"/>
      <c r="T556" s="13"/>
      <c r="AD556" s="13"/>
    </row>
    <row r="557" ht="12.75" customHeight="1">
      <c r="D557" s="14"/>
      <c r="E557" s="14"/>
      <c r="F557" s="14"/>
      <c r="G557" s="14"/>
      <c r="H557" s="12"/>
      <c r="I557" s="18"/>
      <c r="T557" s="13"/>
      <c r="AD557" s="13"/>
    </row>
    <row r="558" ht="12.75" customHeight="1">
      <c r="D558" s="14"/>
      <c r="E558" s="14"/>
      <c r="F558" s="14"/>
      <c r="G558" s="14"/>
      <c r="H558" s="12"/>
      <c r="I558" s="18"/>
      <c r="T558" s="13"/>
      <c r="AD558" s="13"/>
    </row>
    <row r="559" ht="12.75" customHeight="1">
      <c r="D559" s="14"/>
      <c r="E559" s="14"/>
      <c r="F559" s="14"/>
      <c r="G559" s="14"/>
      <c r="H559" s="12"/>
      <c r="I559" s="18"/>
      <c r="T559" s="13"/>
      <c r="AD559" s="13"/>
    </row>
    <row r="560" ht="12.75" customHeight="1">
      <c r="D560" s="14"/>
      <c r="E560" s="14"/>
      <c r="F560" s="14"/>
      <c r="G560" s="14"/>
      <c r="H560" s="12"/>
      <c r="I560" s="18"/>
      <c r="T560" s="13"/>
      <c r="AD560" s="13"/>
    </row>
    <row r="561" ht="12.75" customHeight="1">
      <c r="D561" s="14"/>
      <c r="E561" s="14"/>
      <c r="F561" s="14"/>
      <c r="G561" s="14"/>
      <c r="H561" s="12"/>
      <c r="I561" s="18"/>
      <c r="T561" s="13"/>
      <c r="AD561" s="13"/>
    </row>
    <row r="562" ht="12.75" customHeight="1">
      <c r="D562" s="14"/>
      <c r="E562" s="14"/>
      <c r="F562" s="14"/>
      <c r="G562" s="14"/>
      <c r="H562" s="12"/>
      <c r="I562" s="18"/>
      <c r="T562" s="13"/>
      <c r="AD562" s="13"/>
    </row>
    <row r="563" ht="12.75" customHeight="1">
      <c r="D563" s="14"/>
      <c r="E563" s="14"/>
      <c r="F563" s="14"/>
      <c r="G563" s="14"/>
      <c r="H563" s="12"/>
      <c r="I563" s="18"/>
      <c r="T563" s="13"/>
      <c r="AD563" s="13"/>
    </row>
    <row r="564" ht="12.75" customHeight="1">
      <c r="D564" s="14"/>
      <c r="E564" s="14"/>
      <c r="F564" s="14"/>
      <c r="G564" s="14"/>
      <c r="H564" s="12"/>
      <c r="I564" s="18"/>
      <c r="T564" s="13"/>
      <c r="AD564" s="13"/>
    </row>
    <row r="565" ht="12.75" customHeight="1">
      <c r="D565" s="14"/>
      <c r="E565" s="14"/>
      <c r="F565" s="14"/>
      <c r="G565" s="14"/>
      <c r="H565" s="12"/>
      <c r="I565" s="18"/>
      <c r="T565" s="13"/>
      <c r="AD565" s="13"/>
    </row>
    <row r="566" ht="12.75" customHeight="1">
      <c r="D566" s="14"/>
      <c r="E566" s="14"/>
      <c r="F566" s="14"/>
      <c r="G566" s="14"/>
      <c r="H566" s="12"/>
      <c r="I566" s="18"/>
      <c r="T566" s="13"/>
      <c r="AD566" s="13"/>
    </row>
    <row r="567" ht="12.75" customHeight="1">
      <c r="D567" s="14"/>
      <c r="E567" s="14"/>
      <c r="F567" s="14"/>
      <c r="G567" s="14"/>
      <c r="H567" s="12"/>
      <c r="I567" s="18"/>
      <c r="T567" s="13"/>
      <c r="AD567" s="13"/>
    </row>
    <row r="568" ht="12.75" customHeight="1">
      <c r="D568" s="14"/>
      <c r="E568" s="14"/>
      <c r="F568" s="14"/>
      <c r="G568" s="14"/>
      <c r="H568" s="12"/>
      <c r="I568" s="18"/>
      <c r="T568" s="13"/>
      <c r="AD568" s="13"/>
    </row>
    <row r="569" ht="12.75" customHeight="1">
      <c r="D569" s="14"/>
      <c r="E569" s="14"/>
      <c r="F569" s="14"/>
      <c r="G569" s="14"/>
      <c r="H569" s="12"/>
      <c r="I569" s="18"/>
      <c r="T569" s="13"/>
      <c r="AD569" s="13"/>
    </row>
    <row r="570" ht="12.75" customHeight="1">
      <c r="D570" s="14"/>
      <c r="E570" s="14"/>
      <c r="F570" s="14"/>
      <c r="G570" s="14"/>
      <c r="H570" s="12"/>
      <c r="I570" s="18"/>
      <c r="T570" s="13"/>
      <c r="AD570" s="13"/>
    </row>
    <row r="571" ht="12.75" customHeight="1">
      <c r="D571" s="14"/>
      <c r="E571" s="14"/>
      <c r="F571" s="14"/>
      <c r="G571" s="14"/>
      <c r="H571" s="12"/>
      <c r="I571" s="18"/>
      <c r="T571" s="13"/>
      <c r="AD571" s="13"/>
    </row>
    <row r="572" ht="12.75" customHeight="1">
      <c r="D572" s="14"/>
      <c r="E572" s="14"/>
      <c r="F572" s="14"/>
      <c r="G572" s="14"/>
      <c r="H572" s="12"/>
      <c r="I572" s="18"/>
      <c r="T572" s="13"/>
      <c r="AD572" s="13"/>
    </row>
    <row r="573" ht="12.75" customHeight="1">
      <c r="D573" s="14"/>
      <c r="E573" s="14"/>
      <c r="F573" s="14"/>
      <c r="G573" s="14"/>
      <c r="H573" s="12"/>
      <c r="I573" s="18"/>
      <c r="T573" s="13"/>
      <c r="AD573" s="13"/>
    </row>
    <row r="574" ht="12.75" customHeight="1">
      <c r="D574" s="14"/>
      <c r="E574" s="14"/>
      <c r="F574" s="14"/>
      <c r="G574" s="14"/>
      <c r="H574" s="12"/>
      <c r="I574" s="18"/>
      <c r="T574" s="13"/>
      <c r="AD574" s="13"/>
    </row>
    <row r="575" ht="12.75" customHeight="1">
      <c r="D575" s="14"/>
      <c r="E575" s="14"/>
      <c r="F575" s="14"/>
      <c r="G575" s="14"/>
      <c r="H575" s="12"/>
      <c r="I575" s="18"/>
      <c r="T575" s="13"/>
      <c r="AD575" s="13"/>
    </row>
    <row r="576" ht="12.75" customHeight="1">
      <c r="D576" s="14"/>
      <c r="E576" s="14"/>
      <c r="F576" s="14"/>
      <c r="G576" s="14"/>
      <c r="H576" s="12"/>
      <c r="I576" s="18"/>
      <c r="T576" s="13"/>
      <c r="AD576" s="13"/>
    </row>
    <row r="577" ht="12.75" customHeight="1">
      <c r="D577" s="14"/>
      <c r="E577" s="14"/>
      <c r="F577" s="14"/>
      <c r="G577" s="14"/>
      <c r="H577" s="12"/>
      <c r="I577" s="18"/>
      <c r="T577" s="13"/>
      <c r="AD577" s="13"/>
    </row>
    <row r="578" ht="12.75" customHeight="1">
      <c r="D578" s="14"/>
      <c r="E578" s="14"/>
      <c r="F578" s="14"/>
      <c r="G578" s="14"/>
      <c r="H578" s="12"/>
      <c r="I578" s="18"/>
      <c r="T578" s="13"/>
      <c r="AD578" s="13"/>
    </row>
    <row r="579" ht="12.75" customHeight="1">
      <c r="D579" s="14"/>
      <c r="E579" s="14"/>
      <c r="F579" s="14"/>
      <c r="G579" s="14"/>
      <c r="H579" s="12"/>
      <c r="I579" s="18"/>
      <c r="T579" s="13"/>
      <c r="AD579" s="13"/>
    </row>
    <row r="580" ht="12.75" customHeight="1">
      <c r="D580" s="14"/>
      <c r="E580" s="14"/>
      <c r="F580" s="14"/>
      <c r="G580" s="14"/>
      <c r="H580" s="12"/>
      <c r="I580" s="18"/>
      <c r="T580" s="13"/>
      <c r="AD580" s="13"/>
    </row>
    <row r="581" ht="12.75" customHeight="1">
      <c r="D581" s="14"/>
      <c r="E581" s="14"/>
      <c r="F581" s="14"/>
      <c r="G581" s="14"/>
      <c r="H581" s="12"/>
      <c r="I581" s="18"/>
      <c r="T581" s="13"/>
      <c r="AD581" s="13"/>
    </row>
    <row r="582" ht="12.75" customHeight="1">
      <c r="D582" s="14"/>
      <c r="E582" s="14"/>
      <c r="F582" s="14"/>
      <c r="G582" s="14"/>
      <c r="H582" s="12"/>
      <c r="I582" s="18"/>
      <c r="T582" s="13"/>
      <c r="AD582" s="13"/>
    </row>
    <row r="583" ht="12.75" customHeight="1">
      <c r="D583" s="14"/>
      <c r="E583" s="14"/>
      <c r="F583" s="14"/>
      <c r="G583" s="14"/>
      <c r="H583" s="12"/>
      <c r="I583" s="18"/>
      <c r="T583" s="13"/>
      <c r="AD583" s="13"/>
    </row>
    <row r="584" ht="12.75" customHeight="1">
      <c r="D584" s="14"/>
      <c r="E584" s="14"/>
      <c r="F584" s="14"/>
      <c r="G584" s="14"/>
      <c r="H584" s="12"/>
      <c r="I584" s="18"/>
      <c r="T584" s="13"/>
      <c r="AD584" s="13"/>
    </row>
    <row r="585" ht="12.75" customHeight="1">
      <c r="D585" s="14"/>
      <c r="E585" s="14"/>
      <c r="F585" s="14"/>
      <c r="G585" s="14"/>
      <c r="H585" s="12"/>
      <c r="I585" s="18"/>
      <c r="T585" s="13"/>
      <c r="AD585" s="13"/>
    </row>
    <row r="586" ht="12.75" customHeight="1">
      <c r="D586" s="14"/>
      <c r="E586" s="14"/>
      <c r="F586" s="14"/>
      <c r="G586" s="14"/>
      <c r="H586" s="12"/>
      <c r="I586" s="18"/>
      <c r="T586" s="13"/>
      <c r="AD586" s="13"/>
    </row>
    <row r="587" ht="12.75" customHeight="1">
      <c r="D587" s="14"/>
      <c r="E587" s="14"/>
      <c r="F587" s="14"/>
      <c r="G587" s="14"/>
      <c r="H587" s="12"/>
      <c r="I587" s="18"/>
      <c r="T587" s="13"/>
      <c r="AD587" s="13"/>
    </row>
    <row r="588" ht="12.75" customHeight="1">
      <c r="D588" s="14"/>
      <c r="E588" s="14"/>
      <c r="F588" s="14"/>
      <c r="G588" s="14"/>
      <c r="H588" s="12"/>
      <c r="I588" s="18"/>
      <c r="T588" s="13"/>
      <c r="AD588" s="13"/>
    </row>
    <row r="589" ht="12.75" customHeight="1">
      <c r="D589" s="14"/>
      <c r="E589" s="14"/>
      <c r="F589" s="14"/>
      <c r="G589" s="14"/>
      <c r="H589" s="12"/>
      <c r="I589" s="18"/>
      <c r="T589" s="13"/>
      <c r="AD589" s="13"/>
    </row>
    <row r="590" ht="12.75" customHeight="1">
      <c r="D590" s="14"/>
      <c r="E590" s="14"/>
      <c r="F590" s="14"/>
      <c r="G590" s="14"/>
      <c r="H590" s="12"/>
      <c r="I590" s="18"/>
      <c r="T590" s="13"/>
      <c r="AD590" s="13"/>
    </row>
    <row r="591" ht="12.75" customHeight="1">
      <c r="D591" s="14"/>
      <c r="E591" s="14"/>
      <c r="F591" s="14"/>
      <c r="G591" s="14"/>
      <c r="H591" s="12"/>
      <c r="I591" s="18"/>
      <c r="T591" s="13"/>
      <c r="AD591" s="13"/>
    </row>
    <row r="592" ht="12.75" customHeight="1">
      <c r="D592" s="14"/>
      <c r="E592" s="14"/>
      <c r="F592" s="14"/>
      <c r="G592" s="14"/>
      <c r="H592" s="12"/>
      <c r="I592" s="18"/>
      <c r="T592" s="13"/>
      <c r="AD592" s="13"/>
    </row>
    <row r="593" ht="12.75" customHeight="1">
      <c r="D593" s="14"/>
      <c r="E593" s="14"/>
      <c r="F593" s="14"/>
      <c r="G593" s="14"/>
      <c r="H593" s="12"/>
      <c r="I593" s="18"/>
      <c r="T593" s="13"/>
      <c r="AD593" s="13"/>
    </row>
    <row r="594" ht="12.75" customHeight="1">
      <c r="D594" s="14"/>
      <c r="E594" s="14"/>
      <c r="F594" s="14"/>
      <c r="G594" s="14"/>
      <c r="H594" s="12"/>
      <c r="I594" s="18"/>
      <c r="T594" s="13"/>
      <c r="AD594" s="13"/>
    </row>
    <row r="595" ht="12.75" customHeight="1">
      <c r="D595" s="14"/>
      <c r="E595" s="14"/>
      <c r="F595" s="14"/>
      <c r="G595" s="14"/>
      <c r="H595" s="12"/>
      <c r="I595" s="18"/>
      <c r="T595" s="13"/>
      <c r="AD595" s="13"/>
    </row>
    <row r="596" ht="12.75" customHeight="1">
      <c r="D596" s="14"/>
      <c r="E596" s="14"/>
      <c r="F596" s="14"/>
      <c r="G596" s="14"/>
      <c r="H596" s="12"/>
      <c r="I596" s="18"/>
      <c r="T596" s="13"/>
      <c r="AD596" s="13"/>
    </row>
    <row r="597" ht="12.75" customHeight="1">
      <c r="D597" s="14"/>
      <c r="E597" s="14"/>
      <c r="F597" s="14"/>
      <c r="G597" s="14"/>
      <c r="H597" s="12"/>
      <c r="I597" s="18"/>
      <c r="T597" s="13"/>
      <c r="AD597" s="13"/>
    </row>
    <row r="598" ht="12.75" customHeight="1">
      <c r="D598" s="14"/>
      <c r="E598" s="14"/>
      <c r="F598" s="14"/>
      <c r="G598" s="14"/>
      <c r="H598" s="12"/>
      <c r="I598" s="18"/>
      <c r="T598" s="13"/>
      <c r="AD598" s="13"/>
    </row>
    <row r="599" ht="12.75" customHeight="1">
      <c r="D599" s="14"/>
      <c r="E599" s="14"/>
      <c r="F599" s="14"/>
      <c r="G599" s="14"/>
      <c r="H599" s="12"/>
      <c r="I599" s="18"/>
      <c r="T599" s="13"/>
      <c r="AD599" s="13"/>
    </row>
    <row r="600" ht="12.75" customHeight="1">
      <c r="D600" s="14"/>
      <c r="E600" s="14"/>
      <c r="F600" s="14"/>
      <c r="G600" s="14"/>
      <c r="H600" s="12"/>
      <c r="I600" s="18"/>
      <c r="T600" s="13"/>
      <c r="AD600" s="13"/>
    </row>
    <row r="601" ht="12.75" customHeight="1">
      <c r="D601" s="14"/>
      <c r="E601" s="14"/>
      <c r="F601" s="14"/>
      <c r="G601" s="14"/>
      <c r="H601" s="12"/>
      <c r="I601" s="18"/>
      <c r="T601" s="13"/>
      <c r="AD601" s="13"/>
    </row>
    <row r="602" ht="12.75" customHeight="1">
      <c r="D602" s="14"/>
      <c r="E602" s="14"/>
      <c r="F602" s="14"/>
      <c r="G602" s="14"/>
      <c r="H602" s="12"/>
      <c r="I602" s="18"/>
      <c r="T602" s="13"/>
      <c r="AD602" s="13"/>
    </row>
    <row r="603" ht="12.75" customHeight="1">
      <c r="D603" s="14"/>
      <c r="E603" s="14"/>
      <c r="F603" s="14"/>
      <c r="G603" s="14"/>
      <c r="H603" s="12"/>
      <c r="I603" s="18"/>
      <c r="T603" s="13"/>
      <c r="AD603" s="13"/>
    </row>
    <row r="604" ht="12.75" customHeight="1">
      <c r="D604" s="14"/>
      <c r="E604" s="14"/>
      <c r="F604" s="14"/>
      <c r="G604" s="14"/>
      <c r="H604" s="12"/>
      <c r="I604" s="18"/>
      <c r="T604" s="13"/>
      <c r="AD604" s="13"/>
    </row>
    <row r="605" ht="12.75" customHeight="1">
      <c r="D605" s="14"/>
      <c r="E605" s="14"/>
      <c r="F605" s="14"/>
      <c r="G605" s="14"/>
      <c r="H605" s="12"/>
      <c r="I605" s="18"/>
      <c r="T605" s="13"/>
      <c r="AD605" s="13"/>
    </row>
    <row r="606" ht="12.75" customHeight="1">
      <c r="D606" s="14"/>
      <c r="E606" s="14"/>
      <c r="F606" s="14"/>
      <c r="G606" s="14"/>
      <c r="H606" s="12"/>
      <c r="I606" s="18"/>
      <c r="T606" s="13"/>
      <c r="AD606" s="13"/>
    </row>
    <row r="607" ht="12.75" customHeight="1">
      <c r="D607" s="14"/>
      <c r="E607" s="14"/>
      <c r="F607" s="14"/>
      <c r="G607" s="14"/>
      <c r="H607" s="12"/>
      <c r="I607" s="18"/>
      <c r="T607" s="13"/>
      <c r="AD607" s="13"/>
    </row>
    <row r="608" ht="12.75" customHeight="1">
      <c r="D608" s="14"/>
      <c r="E608" s="14"/>
      <c r="F608" s="14"/>
      <c r="G608" s="14"/>
      <c r="H608" s="12"/>
      <c r="I608" s="18"/>
      <c r="T608" s="13"/>
      <c r="AD608" s="13"/>
    </row>
    <row r="609" ht="12.75" customHeight="1">
      <c r="D609" s="14"/>
      <c r="E609" s="14"/>
      <c r="F609" s="14"/>
      <c r="G609" s="14"/>
      <c r="H609" s="12"/>
      <c r="I609" s="18"/>
      <c r="T609" s="13"/>
      <c r="AD609" s="13"/>
    </row>
    <row r="610" ht="12.75" customHeight="1">
      <c r="D610" s="14"/>
      <c r="E610" s="14"/>
      <c r="F610" s="14"/>
      <c r="G610" s="14"/>
      <c r="H610" s="12"/>
      <c r="I610" s="18"/>
      <c r="T610" s="13"/>
      <c r="AD610" s="13"/>
    </row>
    <row r="611" ht="12.75" customHeight="1">
      <c r="D611" s="14"/>
      <c r="E611" s="14"/>
      <c r="F611" s="14"/>
      <c r="G611" s="14"/>
      <c r="H611" s="12"/>
      <c r="I611" s="18"/>
      <c r="T611" s="13"/>
      <c r="AD611" s="13"/>
    </row>
    <row r="612" ht="12.75" customHeight="1">
      <c r="D612" s="14"/>
      <c r="E612" s="14"/>
      <c r="F612" s="14"/>
      <c r="G612" s="14"/>
      <c r="H612" s="12"/>
      <c r="I612" s="18"/>
      <c r="T612" s="13"/>
      <c r="AD612" s="13"/>
    </row>
    <row r="613" ht="12.75" customHeight="1">
      <c r="D613" s="14"/>
      <c r="E613" s="14"/>
      <c r="F613" s="14"/>
      <c r="G613" s="14"/>
      <c r="H613" s="12"/>
      <c r="I613" s="18"/>
      <c r="T613" s="13"/>
      <c r="AD613" s="13"/>
    </row>
    <row r="614" ht="12.75" customHeight="1">
      <c r="D614" s="14"/>
      <c r="E614" s="14"/>
      <c r="F614" s="14"/>
      <c r="G614" s="14"/>
      <c r="H614" s="12"/>
      <c r="I614" s="18"/>
      <c r="T614" s="13"/>
      <c r="AD614" s="13"/>
    </row>
    <row r="615" ht="12.75" customHeight="1">
      <c r="D615" s="14"/>
      <c r="E615" s="14"/>
      <c r="F615" s="14"/>
      <c r="G615" s="14"/>
      <c r="H615" s="12"/>
      <c r="I615" s="18"/>
      <c r="T615" s="13"/>
      <c r="AD615" s="13"/>
    </row>
    <row r="616" ht="12.75" customHeight="1">
      <c r="D616" s="14"/>
      <c r="E616" s="14"/>
      <c r="F616" s="14"/>
      <c r="G616" s="14"/>
      <c r="H616" s="12"/>
      <c r="I616" s="18"/>
      <c r="T616" s="13"/>
      <c r="AD616" s="13"/>
    </row>
    <row r="617" ht="12.75" customHeight="1">
      <c r="D617" s="14"/>
      <c r="E617" s="14"/>
      <c r="F617" s="14"/>
      <c r="G617" s="14"/>
      <c r="H617" s="12"/>
      <c r="I617" s="18"/>
      <c r="T617" s="13"/>
      <c r="AD617" s="13"/>
    </row>
    <row r="618" ht="12.75" customHeight="1">
      <c r="D618" s="14"/>
      <c r="E618" s="14"/>
      <c r="F618" s="14"/>
      <c r="G618" s="14"/>
      <c r="H618" s="12"/>
      <c r="I618" s="18"/>
      <c r="T618" s="13"/>
      <c r="AD618" s="13"/>
    </row>
    <row r="619" ht="12.75" customHeight="1">
      <c r="D619" s="14"/>
      <c r="E619" s="14"/>
      <c r="F619" s="14"/>
      <c r="G619" s="14"/>
      <c r="H619" s="12"/>
      <c r="I619" s="18"/>
      <c r="T619" s="13"/>
      <c r="AD619" s="13"/>
    </row>
    <row r="620" ht="12.75" customHeight="1">
      <c r="D620" s="14"/>
      <c r="E620" s="14"/>
      <c r="F620" s="14"/>
      <c r="G620" s="14"/>
      <c r="H620" s="12"/>
      <c r="I620" s="18"/>
      <c r="T620" s="13"/>
      <c r="AD620" s="13"/>
    </row>
    <row r="621" ht="12.75" customHeight="1">
      <c r="D621" s="14"/>
      <c r="E621" s="14"/>
      <c r="F621" s="14"/>
      <c r="G621" s="14"/>
      <c r="H621" s="12"/>
      <c r="I621" s="18"/>
      <c r="T621" s="13"/>
      <c r="AD621" s="13"/>
    </row>
    <row r="622" ht="12.75" customHeight="1">
      <c r="D622" s="14"/>
      <c r="E622" s="14"/>
      <c r="F622" s="14"/>
      <c r="G622" s="14"/>
      <c r="H622" s="12"/>
      <c r="I622" s="18"/>
      <c r="T622" s="13"/>
      <c r="AD622" s="13"/>
    </row>
    <row r="623" ht="12.75" customHeight="1">
      <c r="D623" s="14"/>
      <c r="E623" s="14"/>
      <c r="F623" s="14"/>
      <c r="G623" s="14"/>
      <c r="H623" s="12"/>
      <c r="I623" s="18"/>
      <c r="T623" s="13"/>
      <c r="AD623" s="13"/>
    </row>
    <row r="624" ht="12.75" customHeight="1">
      <c r="D624" s="14"/>
      <c r="E624" s="14"/>
      <c r="F624" s="14"/>
      <c r="G624" s="14"/>
      <c r="H624" s="12"/>
      <c r="I624" s="18"/>
      <c r="T624" s="13"/>
      <c r="AD624" s="13"/>
    </row>
    <row r="625" ht="12.75" customHeight="1">
      <c r="D625" s="14"/>
      <c r="E625" s="14"/>
      <c r="F625" s="14"/>
      <c r="G625" s="14"/>
      <c r="H625" s="12"/>
      <c r="I625" s="18"/>
      <c r="T625" s="13"/>
      <c r="AD625" s="13"/>
    </row>
    <row r="626" ht="12.75" customHeight="1">
      <c r="D626" s="14"/>
      <c r="E626" s="14"/>
      <c r="F626" s="14"/>
      <c r="G626" s="14"/>
      <c r="H626" s="12"/>
      <c r="I626" s="18"/>
      <c r="T626" s="13"/>
      <c r="AD626" s="13"/>
    </row>
    <row r="627" ht="12.75" customHeight="1">
      <c r="D627" s="14"/>
      <c r="E627" s="14"/>
      <c r="F627" s="14"/>
      <c r="G627" s="14"/>
      <c r="H627" s="12"/>
      <c r="I627" s="18"/>
      <c r="T627" s="13"/>
      <c r="AD627" s="13"/>
    </row>
    <row r="628" ht="12.75" customHeight="1">
      <c r="D628" s="14"/>
      <c r="E628" s="14"/>
      <c r="F628" s="14"/>
      <c r="G628" s="14"/>
      <c r="H628" s="12"/>
      <c r="I628" s="18"/>
      <c r="T628" s="13"/>
      <c r="AD628" s="13"/>
    </row>
    <row r="629" ht="12.75" customHeight="1">
      <c r="D629" s="14"/>
      <c r="E629" s="14"/>
      <c r="F629" s="14"/>
      <c r="G629" s="14"/>
      <c r="H629" s="12"/>
      <c r="I629" s="18"/>
      <c r="T629" s="13"/>
      <c r="AD629" s="13"/>
    </row>
    <row r="630" ht="12.75" customHeight="1">
      <c r="D630" s="14"/>
      <c r="E630" s="14"/>
      <c r="F630" s="14"/>
      <c r="G630" s="14"/>
      <c r="H630" s="12"/>
      <c r="I630" s="18"/>
      <c r="T630" s="13"/>
      <c r="AD630" s="13"/>
    </row>
    <row r="631" ht="12.75" customHeight="1">
      <c r="D631" s="14"/>
      <c r="E631" s="14"/>
      <c r="F631" s="14"/>
      <c r="G631" s="14"/>
      <c r="H631" s="12"/>
      <c r="I631" s="18"/>
      <c r="T631" s="13"/>
      <c r="AD631" s="13"/>
    </row>
    <row r="632" ht="12.75" customHeight="1">
      <c r="D632" s="14"/>
      <c r="E632" s="14"/>
      <c r="F632" s="14"/>
      <c r="G632" s="14"/>
      <c r="H632" s="12"/>
      <c r="I632" s="18"/>
      <c r="T632" s="13"/>
      <c r="AD632" s="13"/>
    </row>
    <row r="633" ht="12.75" customHeight="1">
      <c r="D633" s="14"/>
      <c r="E633" s="14"/>
      <c r="F633" s="14"/>
      <c r="G633" s="14"/>
      <c r="H633" s="12"/>
      <c r="I633" s="18"/>
      <c r="T633" s="13"/>
      <c r="AD633" s="13"/>
    </row>
    <row r="634" ht="12.75" customHeight="1">
      <c r="D634" s="14"/>
      <c r="E634" s="14"/>
      <c r="F634" s="14"/>
      <c r="G634" s="14"/>
      <c r="H634" s="12"/>
      <c r="I634" s="18"/>
      <c r="T634" s="13"/>
      <c r="AD634" s="13"/>
    </row>
    <row r="635" ht="12.75" customHeight="1">
      <c r="D635" s="14"/>
      <c r="E635" s="14"/>
      <c r="F635" s="14"/>
      <c r="G635" s="14"/>
      <c r="H635" s="12"/>
      <c r="I635" s="18"/>
      <c r="T635" s="13"/>
      <c r="AD635" s="13"/>
    </row>
    <row r="636" ht="12.75" customHeight="1">
      <c r="D636" s="14"/>
      <c r="E636" s="14"/>
      <c r="F636" s="14"/>
      <c r="G636" s="14"/>
      <c r="H636" s="12"/>
      <c r="I636" s="18"/>
      <c r="T636" s="13"/>
      <c r="AD636" s="13"/>
    </row>
    <row r="637" ht="12.75" customHeight="1">
      <c r="D637" s="14"/>
      <c r="E637" s="14"/>
      <c r="F637" s="14"/>
      <c r="G637" s="14"/>
      <c r="H637" s="12"/>
      <c r="I637" s="18"/>
      <c r="T637" s="13"/>
      <c r="AD637" s="13"/>
    </row>
    <row r="638" ht="12.75" customHeight="1">
      <c r="D638" s="14"/>
      <c r="E638" s="14"/>
      <c r="F638" s="14"/>
      <c r="G638" s="14"/>
      <c r="H638" s="12"/>
      <c r="I638" s="18"/>
      <c r="T638" s="13"/>
      <c r="AD638" s="13"/>
    </row>
    <row r="639" ht="12.75" customHeight="1">
      <c r="D639" s="14"/>
      <c r="E639" s="14"/>
      <c r="F639" s="14"/>
      <c r="G639" s="14"/>
      <c r="H639" s="12"/>
      <c r="I639" s="18"/>
      <c r="T639" s="13"/>
      <c r="AD639" s="13"/>
    </row>
    <row r="640" ht="12.75" customHeight="1">
      <c r="D640" s="14"/>
      <c r="E640" s="14"/>
      <c r="F640" s="14"/>
      <c r="G640" s="14"/>
      <c r="H640" s="12"/>
      <c r="I640" s="18"/>
      <c r="T640" s="13"/>
      <c r="AD640" s="13"/>
    </row>
    <row r="641" ht="12.75" customHeight="1">
      <c r="D641" s="14"/>
      <c r="E641" s="14"/>
      <c r="F641" s="14"/>
      <c r="G641" s="14"/>
      <c r="H641" s="12"/>
      <c r="I641" s="18"/>
      <c r="T641" s="13"/>
      <c r="AD641" s="13"/>
    </row>
    <row r="642" ht="12.75" customHeight="1">
      <c r="D642" s="14"/>
      <c r="E642" s="14"/>
      <c r="F642" s="14"/>
      <c r="G642" s="14"/>
      <c r="H642" s="12"/>
      <c r="I642" s="18"/>
      <c r="T642" s="13"/>
      <c r="AD642" s="13"/>
    </row>
    <row r="643" ht="12.75" customHeight="1">
      <c r="D643" s="14"/>
      <c r="E643" s="14"/>
      <c r="F643" s="14"/>
      <c r="G643" s="14"/>
      <c r="H643" s="12"/>
      <c r="I643" s="18"/>
      <c r="T643" s="13"/>
      <c r="AD643" s="13"/>
    </row>
    <row r="644" ht="12.75" customHeight="1">
      <c r="D644" s="14"/>
      <c r="E644" s="14"/>
      <c r="F644" s="14"/>
      <c r="G644" s="14"/>
      <c r="H644" s="12"/>
      <c r="I644" s="18"/>
      <c r="T644" s="13"/>
      <c r="AD644" s="13"/>
    </row>
    <row r="645" ht="12.75" customHeight="1">
      <c r="D645" s="14"/>
      <c r="E645" s="14"/>
      <c r="F645" s="14"/>
      <c r="G645" s="14"/>
      <c r="H645" s="12"/>
      <c r="I645" s="18"/>
      <c r="T645" s="13"/>
      <c r="AD645" s="13"/>
    </row>
    <row r="646" ht="12.75" customHeight="1">
      <c r="D646" s="14"/>
      <c r="E646" s="14"/>
      <c r="F646" s="14"/>
      <c r="G646" s="14"/>
      <c r="H646" s="12"/>
      <c r="I646" s="18"/>
      <c r="T646" s="13"/>
      <c r="AD646" s="13"/>
    </row>
    <row r="647" ht="12.75" customHeight="1">
      <c r="D647" s="14"/>
      <c r="E647" s="14"/>
      <c r="F647" s="14"/>
      <c r="G647" s="14"/>
      <c r="H647" s="12"/>
      <c r="I647" s="18"/>
      <c r="T647" s="13"/>
      <c r="AD647" s="13"/>
    </row>
    <row r="648" ht="12.75" customHeight="1">
      <c r="D648" s="14"/>
      <c r="E648" s="14"/>
      <c r="F648" s="14"/>
      <c r="G648" s="14"/>
      <c r="H648" s="12"/>
      <c r="I648" s="18"/>
      <c r="T648" s="13"/>
      <c r="AD648" s="13"/>
    </row>
    <row r="649" ht="12.75" customHeight="1">
      <c r="D649" s="14"/>
      <c r="E649" s="14"/>
      <c r="F649" s="14"/>
      <c r="G649" s="14"/>
      <c r="H649" s="12"/>
      <c r="I649" s="18"/>
      <c r="T649" s="13"/>
      <c r="AD649" s="13"/>
    </row>
    <row r="650" ht="12.75" customHeight="1">
      <c r="D650" s="14"/>
      <c r="E650" s="14"/>
      <c r="F650" s="14"/>
      <c r="G650" s="14"/>
      <c r="H650" s="12"/>
      <c r="I650" s="18"/>
      <c r="T650" s="13"/>
      <c r="AD650" s="13"/>
    </row>
    <row r="651" ht="12.75" customHeight="1">
      <c r="D651" s="14"/>
      <c r="E651" s="14"/>
      <c r="F651" s="14"/>
      <c r="G651" s="14"/>
      <c r="H651" s="12"/>
      <c r="I651" s="18"/>
      <c r="T651" s="13"/>
      <c r="AD651" s="13"/>
    </row>
    <row r="652" ht="12.75" customHeight="1">
      <c r="D652" s="14"/>
      <c r="E652" s="14"/>
      <c r="F652" s="14"/>
      <c r="G652" s="14"/>
      <c r="H652" s="12"/>
      <c r="I652" s="18"/>
      <c r="T652" s="13"/>
      <c r="AD652" s="13"/>
    </row>
    <row r="653" ht="12.75" customHeight="1">
      <c r="D653" s="14"/>
      <c r="E653" s="14"/>
      <c r="F653" s="14"/>
      <c r="G653" s="14"/>
      <c r="H653" s="12"/>
      <c r="I653" s="18"/>
      <c r="T653" s="13"/>
      <c r="AD653" s="13"/>
    </row>
    <row r="654" ht="12.75" customHeight="1">
      <c r="D654" s="14"/>
      <c r="E654" s="14"/>
      <c r="F654" s="14"/>
      <c r="G654" s="14"/>
      <c r="H654" s="12"/>
      <c r="I654" s="18"/>
      <c r="T654" s="13"/>
      <c r="AD654" s="13"/>
    </row>
    <row r="655" ht="12.75" customHeight="1">
      <c r="D655" s="14"/>
      <c r="E655" s="14"/>
      <c r="F655" s="14"/>
      <c r="G655" s="14"/>
      <c r="H655" s="12"/>
      <c r="I655" s="18"/>
      <c r="T655" s="13"/>
      <c r="AD655" s="13"/>
    </row>
    <row r="656" ht="12.75" customHeight="1">
      <c r="D656" s="14"/>
      <c r="E656" s="14"/>
      <c r="F656" s="14"/>
      <c r="G656" s="14"/>
      <c r="H656" s="12"/>
      <c r="I656" s="18"/>
      <c r="T656" s="13"/>
      <c r="AD656" s="13"/>
    </row>
    <row r="657" ht="12.75" customHeight="1">
      <c r="D657" s="14"/>
      <c r="E657" s="14"/>
      <c r="F657" s="14"/>
      <c r="G657" s="14"/>
      <c r="H657" s="12"/>
      <c r="I657" s="18"/>
      <c r="T657" s="13"/>
      <c r="AD657" s="13"/>
    </row>
    <row r="658" ht="12.75" customHeight="1">
      <c r="D658" s="14"/>
      <c r="E658" s="14"/>
      <c r="F658" s="14"/>
      <c r="G658" s="14"/>
      <c r="H658" s="12"/>
      <c r="I658" s="18"/>
      <c r="T658" s="13"/>
      <c r="AD658" s="13"/>
    </row>
    <row r="659" ht="12.75" customHeight="1">
      <c r="D659" s="14"/>
      <c r="E659" s="14"/>
      <c r="F659" s="14"/>
      <c r="G659" s="14"/>
      <c r="H659" s="12"/>
      <c r="I659" s="18"/>
      <c r="T659" s="13"/>
      <c r="AD659" s="13"/>
    </row>
    <row r="660" ht="12.75" customHeight="1">
      <c r="D660" s="14"/>
      <c r="E660" s="14"/>
      <c r="F660" s="14"/>
      <c r="G660" s="14"/>
      <c r="H660" s="12"/>
      <c r="I660" s="18"/>
      <c r="T660" s="13"/>
      <c r="AD660" s="13"/>
    </row>
    <row r="661" ht="12.75" customHeight="1">
      <c r="D661" s="14"/>
      <c r="E661" s="14"/>
      <c r="F661" s="14"/>
      <c r="G661" s="14"/>
      <c r="H661" s="12"/>
      <c r="I661" s="18"/>
      <c r="T661" s="13"/>
      <c r="AD661" s="13"/>
    </row>
    <row r="662" ht="12.75" customHeight="1">
      <c r="D662" s="14"/>
      <c r="E662" s="14"/>
      <c r="F662" s="14"/>
      <c r="G662" s="14"/>
      <c r="H662" s="12"/>
      <c r="I662" s="18"/>
      <c r="T662" s="13"/>
      <c r="AD662" s="13"/>
    </row>
    <row r="663" ht="12.75" customHeight="1">
      <c r="D663" s="14"/>
      <c r="E663" s="14"/>
      <c r="F663" s="14"/>
      <c r="G663" s="14"/>
      <c r="H663" s="12"/>
      <c r="I663" s="18"/>
      <c r="T663" s="13"/>
      <c r="AD663" s="13"/>
    </row>
    <row r="664" ht="12.75" customHeight="1">
      <c r="D664" s="14"/>
      <c r="E664" s="14"/>
      <c r="F664" s="14"/>
      <c r="G664" s="14"/>
      <c r="H664" s="12"/>
      <c r="I664" s="18"/>
      <c r="T664" s="13"/>
      <c r="AD664" s="13"/>
    </row>
    <row r="665" ht="12.75" customHeight="1">
      <c r="D665" s="14"/>
      <c r="E665" s="14"/>
      <c r="F665" s="14"/>
      <c r="G665" s="14"/>
      <c r="H665" s="12"/>
      <c r="I665" s="18"/>
      <c r="T665" s="13"/>
      <c r="AD665" s="13"/>
    </row>
    <row r="666" ht="12.75" customHeight="1">
      <c r="D666" s="14"/>
      <c r="E666" s="14"/>
      <c r="F666" s="14"/>
      <c r="G666" s="14"/>
      <c r="H666" s="12"/>
      <c r="I666" s="18"/>
      <c r="T666" s="13"/>
      <c r="AD666" s="13"/>
    </row>
    <row r="667" ht="12.75" customHeight="1">
      <c r="D667" s="14"/>
      <c r="E667" s="14"/>
      <c r="F667" s="14"/>
      <c r="G667" s="14"/>
      <c r="H667" s="12"/>
      <c r="I667" s="18"/>
      <c r="T667" s="13"/>
      <c r="AD667" s="13"/>
    </row>
    <row r="668" ht="12.75" customHeight="1">
      <c r="D668" s="14"/>
      <c r="E668" s="14"/>
      <c r="F668" s="14"/>
      <c r="G668" s="14"/>
      <c r="H668" s="12"/>
      <c r="I668" s="18"/>
      <c r="T668" s="13"/>
      <c r="AD668" s="13"/>
    </row>
    <row r="669" ht="12.75" customHeight="1">
      <c r="D669" s="14"/>
      <c r="E669" s="14"/>
      <c r="F669" s="14"/>
      <c r="G669" s="14"/>
      <c r="H669" s="12"/>
      <c r="I669" s="18"/>
      <c r="T669" s="13"/>
      <c r="AD669" s="13"/>
    </row>
    <row r="670" ht="12.75" customHeight="1">
      <c r="D670" s="14"/>
      <c r="E670" s="14"/>
      <c r="F670" s="14"/>
      <c r="G670" s="14"/>
      <c r="H670" s="12"/>
      <c r="I670" s="18"/>
      <c r="T670" s="13"/>
      <c r="AD670" s="13"/>
    </row>
    <row r="671" ht="12.75" customHeight="1">
      <c r="D671" s="14"/>
      <c r="E671" s="14"/>
      <c r="F671" s="14"/>
      <c r="G671" s="14"/>
      <c r="H671" s="12"/>
      <c r="I671" s="18"/>
      <c r="T671" s="13"/>
      <c r="AD671" s="13"/>
    </row>
    <row r="672" ht="12.75" customHeight="1">
      <c r="D672" s="14"/>
      <c r="E672" s="14"/>
      <c r="F672" s="14"/>
      <c r="G672" s="14"/>
      <c r="H672" s="12"/>
      <c r="I672" s="18"/>
      <c r="T672" s="13"/>
      <c r="AD672" s="13"/>
    </row>
    <row r="673" ht="12.75" customHeight="1">
      <c r="D673" s="14"/>
      <c r="E673" s="14"/>
      <c r="F673" s="14"/>
      <c r="G673" s="14"/>
      <c r="H673" s="12"/>
      <c r="I673" s="18"/>
      <c r="T673" s="13"/>
      <c r="AD673" s="13"/>
    </row>
    <row r="674" ht="12.75" customHeight="1">
      <c r="D674" s="14"/>
      <c r="E674" s="14"/>
      <c r="F674" s="14"/>
      <c r="G674" s="14"/>
      <c r="H674" s="12"/>
      <c r="I674" s="18"/>
      <c r="T674" s="13"/>
      <c r="AD674" s="13"/>
    </row>
    <row r="675" ht="12.75" customHeight="1">
      <c r="D675" s="14"/>
      <c r="E675" s="14"/>
      <c r="F675" s="14"/>
      <c r="G675" s="14"/>
      <c r="H675" s="12"/>
      <c r="I675" s="18"/>
      <c r="T675" s="13"/>
      <c r="AD675" s="13"/>
    </row>
    <row r="676" ht="12.75" customHeight="1">
      <c r="D676" s="14"/>
      <c r="E676" s="14"/>
      <c r="F676" s="14"/>
      <c r="G676" s="14"/>
      <c r="H676" s="12"/>
      <c r="I676" s="18"/>
      <c r="T676" s="13"/>
      <c r="AD676" s="13"/>
    </row>
    <row r="677" ht="12.75" customHeight="1">
      <c r="D677" s="14"/>
      <c r="E677" s="14"/>
      <c r="F677" s="14"/>
      <c r="G677" s="14"/>
      <c r="H677" s="12"/>
      <c r="I677" s="18"/>
      <c r="T677" s="13"/>
      <c r="AD677" s="13"/>
    </row>
    <row r="678" ht="12.75" customHeight="1">
      <c r="D678" s="14"/>
      <c r="E678" s="14"/>
      <c r="F678" s="14"/>
      <c r="G678" s="14"/>
      <c r="H678" s="12"/>
      <c r="I678" s="18"/>
      <c r="T678" s="13"/>
      <c r="AD678" s="13"/>
    </row>
    <row r="679" ht="12.75" customHeight="1">
      <c r="D679" s="14"/>
      <c r="E679" s="14"/>
      <c r="F679" s="14"/>
      <c r="G679" s="14"/>
      <c r="H679" s="12"/>
      <c r="I679" s="18"/>
      <c r="T679" s="13"/>
      <c r="AD679" s="13"/>
    </row>
    <row r="680" ht="12.75" customHeight="1">
      <c r="D680" s="14"/>
      <c r="E680" s="14"/>
      <c r="F680" s="14"/>
      <c r="G680" s="14"/>
      <c r="H680" s="12"/>
      <c r="I680" s="18"/>
      <c r="T680" s="13"/>
      <c r="AD680" s="13"/>
    </row>
    <row r="681" ht="12.75" customHeight="1">
      <c r="D681" s="14"/>
      <c r="E681" s="14"/>
      <c r="F681" s="14"/>
      <c r="G681" s="14"/>
      <c r="H681" s="12"/>
      <c r="I681" s="18"/>
      <c r="T681" s="13"/>
      <c r="AD681" s="13"/>
    </row>
    <row r="682" ht="12.75" customHeight="1">
      <c r="D682" s="14"/>
      <c r="E682" s="14"/>
      <c r="F682" s="14"/>
      <c r="G682" s="14"/>
      <c r="H682" s="12"/>
      <c r="I682" s="18"/>
      <c r="T682" s="13"/>
      <c r="AD682" s="13"/>
    </row>
    <row r="683" ht="12.75" customHeight="1">
      <c r="D683" s="14"/>
      <c r="E683" s="14"/>
      <c r="F683" s="14"/>
      <c r="G683" s="14"/>
      <c r="H683" s="12"/>
      <c r="I683" s="18"/>
      <c r="T683" s="13"/>
      <c r="AD683" s="13"/>
    </row>
    <row r="684" ht="12.75" customHeight="1">
      <c r="D684" s="14"/>
      <c r="E684" s="14"/>
      <c r="F684" s="14"/>
      <c r="G684" s="14"/>
      <c r="H684" s="12"/>
      <c r="I684" s="18"/>
      <c r="T684" s="13"/>
      <c r="AD684" s="13"/>
    </row>
    <row r="685" ht="12.75" customHeight="1">
      <c r="D685" s="14"/>
      <c r="E685" s="14"/>
      <c r="F685" s="14"/>
      <c r="G685" s="14"/>
      <c r="H685" s="12"/>
      <c r="I685" s="18"/>
      <c r="T685" s="13"/>
      <c r="AD685" s="13"/>
    </row>
    <row r="686" ht="12.75" customHeight="1">
      <c r="D686" s="14"/>
      <c r="E686" s="14"/>
      <c r="F686" s="14"/>
      <c r="G686" s="14"/>
      <c r="H686" s="12"/>
      <c r="I686" s="18"/>
      <c r="T686" s="13"/>
      <c r="AD686" s="13"/>
    </row>
    <row r="687" ht="12.75" customHeight="1">
      <c r="D687" s="14"/>
      <c r="E687" s="14"/>
      <c r="F687" s="14"/>
      <c r="G687" s="14"/>
      <c r="H687" s="12"/>
      <c r="I687" s="18"/>
      <c r="T687" s="13"/>
      <c r="AD687" s="13"/>
    </row>
    <row r="688" ht="12.75" customHeight="1">
      <c r="D688" s="14"/>
      <c r="E688" s="14"/>
      <c r="F688" s="14"/>
      <c r="G688" s="14"/>
      <c r="H688" s="12"/>
      <c r="I688" s="18"/>
      <c r="T688" s="13"/>
      <c r="AD688" s="13"/>
    </row>
    <row r="689" ht="12.75" customHeight="1">
      <c r="D689" s="14"/>
      <c r="E689" s="14"/>
      <c r="F689" s="14"/>
      <c r="G689" s="14"/>
      <c r="H689" s="12"/>
      <c r="I689" s="18"/>
      <c r="T689" s="13"/>
      <c r="AD689" s="13"/>
    </row>
    <row r="690" ht="12.75" customHeight="1">
      <c r="D690" s="14"/>
      <c r="E690" s="14"/>
      <c r="F690" s="14"/>
      <c r="G690" s="14"/>
      <c r="H690" s="12"/>
      <c r="I690" s="18"/>
      <c r="T690" s="13"/>
      <c r="AD690" s="13"/>
    </row>
    <row r="691" ht="12.75" customHeight="1">
      <c r="D691" s="14"/>
      <c r="E691" s="14"/>
      <c r="F691" s="14"/>
      <c r="G691" s="14"/>
      <c r="H691" s="12"/>
      <c r="I691" s="18"/>
      <c r="T691" s="13"/>
      <c r="AD691" s="13"/>
    </row>
    <row r="692" ht="12.75" customHeight="1">
      <c r="D692" s="14"/>
      <c r="E692" s="14"/>
      <c r="F692" s="14"/>
      <c r="G692" s="14"/>
      <c r="H692" s="12"/>
      <c r="I692" s="18"/>
      <c r="T692" s="13"/>
      <c r="AD692" s="13"/>
    </row>
    <row r="693" ht="12.75" customHeight="1">
      <c r="D693" s="14"/>
      <c r="E693" s="14"/>
      <c r="F693" s="14"/>
      <c r="G693" s="14"/>
      <c r="H693" s="12"/>
      <c r="I693" s="18"/>
      <c r="T693" s="13"/>
      <c r="AD693" s="13"/>
    </row>
    <row r="694" ht="12.75" customHeight="1">
      <c r="D694" s="14"/>
      <c r="E694" s="14"/>
      <c r="F694" s="14"/>
      <c r="G694" s="14"/>
      <c r="H694" s="12"/>
      <c r="I694" s="18"/>
      <c r="T694" s="13"/>
      <c r="AD694" s="13"/>
    </row>
    <row r="695" ht="12.75" customHeight="1">
      <c r="D695" s="14"/>
      <c r="E695" s="14"/>
      <c r="F695" s="14"/>
      <c r="G695" s="14"/>
      <c r="H695" s="12"/>
      <c r="I695" s="18"/>
      <c r="T695" s="13"/>
      <c r="AD695" s="13"/>
    </row>
    <row r="696" ht="12.75" customHeight="1">
      <c r="D696" s="14"/>
      <c r="E696" s="14"/>
      <c r="F696" s="14"/>
      <c r="G696" s="14"/>
      <c r="H696" s="12"/>
      <c r="I696" s="18"/>
      <c r="T696" s="13"/>
      <c r="AD696" s="13"/>
    </row>
    <row r="697" ht="12.75" customHeight="1">
      <c r="D697" s="14"/>
      <c r="E697" s="14"/>
      <c r="F697" s="14"/>
      <c r="G697" s="14"/>
      <c r="H697" s="12"/>
      <c r="I697" s="18"/>
      <c r="T697" s="13"/>
      <c r="AD697" s="13"/>
    </row>
    <row r="698" ht="12.75" customHeight="1">
      <c r="D698" s="14"/>
      <c r="E698" s="14"/>
      <c r="F698" s="14"/>
      <c r="G698" s="14"/>
      <c r="H698" s="12"/>
      <c r="I698" s="18"/>
      <c r="T698" s="13"/>
      <c r="AD698" s="13"/>
    </row>
    <row r="699" ht="12.75" customHeight="1">
      <c r="D699" s="14"/>
      <c r="E699" s="14"/>
      <c r="F699" s="14"/>
      <c r="G699" s="14"/>
      <c r="H699" s="12"/>
      <c r="I699" s="18"/>
      <c r="T699" s="13"/>
      <c r="AD699" s="13"/>
    </row>
    <row r="700" ht="12.75" customHeight="1">
      <c r="D700" s="14"/>
      <c r="E700" s="14"/>
      <c r="F700" s="14"/>
      <c r="G700" s="14"/>
      <c r="H700" s="12"/>
      <c r="I700" s="18"/>
      <c r="T700" s="13"/>
      <c r="AD700" s="13"/>
    </row>
    <row r="701" ht="12.75" customHeight="1">
      <c r="D701" s="14"/>
      <c r="E701" s="14"/>
      <c r="F701" s="14"/>
      <c r="G701" s="14"/>
      <c r="H701" s="12"/>
      <c r="I701" s="18"/>
      <c r="T701" s="13"/>
      <c r="AD701" s="13"/>
    </row>
    <row r="702" ht="12.75" customHeight="1">
      <c r="D702" s="14"/>
      <c r="E702" s="14"/>
      <c r="F702" s="14"/>
      <c r="G702" s="14"/>
      <c r="H702" s="12"/>
      <c r="I702" s="18"/>
      <c r="T702" s="13"/>
      <c r="AD702" s="13"/>
    </row>
    <row r="703" ht="12.75" customHeight="1">
      <c r="D703" s="14"/>
      <c r="E703" s="14"/>
      <c r="F703" s="14"/>
      <c r="G703" s="14"/>
      <c r="H703" s="12"/>
      <c r="I703" s="18"/>
      <c r="T703" s="13"/>
      <c r="AD703" s="13"/>
    </row>
    <row r="704" ht="12.75" customHeight="1">
      <c r="D704" s="14"/>
      <c r="E704" s="14"/>
      <c r="F704" s="14"/>
      <c r="G704" s="14"/>
      <c r="H704" s="12"/>
      <c r="I704" s="18"/>
      <c r="T704" s="13"/>
      <c r="AD704" s="13"/>
    </row>
    <row r="705" ht="12.75" customHeight="1">
      <c r="D705" s="14"/>
      <c r="E705" s="14"/>
      <c r="F705" s="14"/>
      <c r="G705" s="14"/>
      <c r="H705" s="12"/>
      <c r="I705" s="18"/>
      <c r="T705" s="13"/>
      <c r="AD705" s="13"/>
    </row>
    <row r="706" ht="12.75" customHeight="1">
      <c r="D706" s="14"/>
      <c r="E706" s="14"/>
      <c r="F706" s="14"/>
      <c r="G706" s="14"/>
      <c r="H706" s="12"/>
      <c r="I706" s="18"/>
      <c r="T706" s="13"/>
      <c r="AD706" s="13"/>
    </row>
    <row r="707" ht="12.75" customHeight="1">
      <c r="D707" s="14"/>
      <c r="E707" s="14"/>
      <c r="F707" s="14"/>
      <c r="G707" s="14"/>
      <c r="H707" s="12"/>
      <c r="I707" s="18"/>
      <c r="T707" s="13"/>
      <c r="AD707" s="13"/>
    </row>
    <row r="708" ht="12.75" customHeight="1">
      <c r="D708" s="14"/>
      <c r="E708" s="14"/>
      <c r="F708" s="14"/>
      <c r="G708" s="14"/>
      <c r="H708" s="12"/>
      <c r="I708" s="18"/>
      <c r="T708" s="13"/>
      <c r="AD708" s="13"/>
    </row>
    <row r="709" ht="12.75" customHeight="1">
      <c r="D709" s="14"/>
      <c r="E709" s="14"/>
      <c r="F709" s="14"/>
      <c r="G709" s="14"/>
      <c r="H709" s="12"/>
      <c r="I709" s="18"/>
      <c r="T709" s="13"/>
      <c r="AD709" s="13"/>
    </row>
    <row r="710" ht="12.75" customHeight="1">
      <c r="D710" s="14"/>
      <c r="E710" s="14"/>
      <c r="F710" s="14"/>
      <c r="G710" s="14"/>
      <c r="H710" s="12"/>
      <c r="I710" s="18"/>
      <c r="T710" s="13"/>
      <c r="AD710" s="13"/>
    </row>
    <row r="711" ht="12.75" customHeight="1">
      <c r="D711" s="14"/>
      <c r="E711" s="14"/>
      <c r="F711" s="14"/>
      <c r="G711" s="14"/>
      <c r="H711" s="12"/>
      <c r="I711" s="18"/>
      <c r="T711" s="13"/>
      <c r="AD711" s="13"/>
    </row>
    <row r="712" ht="12.75" customHeight="1">
      <c r="D712" s="14"/>
      <c r="E712" s="14"/>
      <c r="F712" s="14"/>
      <c r="G712" s="14"/>
      <c r="H712" s="12"/>
      <c r="I712" s="18"/>
      <c r="T712" s="13"/>
      <c r="AD712" s="13"/>
    </row>
    <row r="713" ht="12.75" customHeight="1">
      <c r="D713" s="14"/>
      <c r="E713" s="14"/>
      <c r="F713" s="14"/>
      <c r="G713" s="14"/>
      <c r="H713" s="12"/>
      <c r="I713" s="18"/>
      <c r="T713" s="13"/>
      <c r="AD713" s="13"/>
    </row>
    <row r="714" ht="12.75" customHeight="1">
      <c r="D714" s="14"/>
      <c r="E714" s="14"/>
      <c r="F714" s="14"/>
      <c r="G714" s="14"/>
      <c r="H714" s="12"/>
      <c r="I714" s="18"/>
      <c r="T714" s="13"/>
      <c r="AD714" s="13"/>
    </row>
    <row r="715" ht="12.75" customHeight="1">
      <c r="D715" s="14"/>
      <c r="E715" s="14"/>
      <c r="F715" s="14"/>
      <c r="G715" s="14"/>
      <c r="H715" s="12"/>
      <c r="I715" s="18"/>
      <c r="T715" s="13"/>
      <c r="AD715" s="13"/>
    </row>
    <row r="716" ht="12.75" customHeight="1">
      <c r="D716" s="14"/>
      <c r="E716" s="14"/>
      <c r="F716" s="14"/>
      <c r="G716" s="14"/>
      <c r="H716" s="12"/>
      <c r="I716" s="18"/>
      <c r="T716" s="13"/>
      <c r="AD716" s="13"/>
    </row>
    <row r="717" ht="12.75" customHeight="1">
      <c r="D717" s="14"/>
      <c r="E717" s="14"/>
      <c r="F717" s="14"/>
      <c r="G717" s="14"/>
      <c r="H717" s="12"/>
      <c r="I717" s="18"/>
      <c r="T717" s="13"/>
      <c r="AD717" s="13"/>
    </row>
    <row r="718" ht="12.75" customHeight="1">
      <c r="D718" s="14"/>
      <c r="E718" s="14"/>
      <c r="F718" s="14"/>
      <c r="G718" s="14"/>
      <c r="H718" s="12"/>
      <c r="I718" s="18"/>
      <c r="T718" s="13"/>
      <c r="AD718" s="13"/>
    </row>
    <row r="719" ht="12.75" customHeight="1">
      <c r="D719" s="14"/>
      <c r="E719" s="14"/>
      <c r="F719" s="14"/>
      <c r="G719" s="14"/>
      <c r="H719" s="12"/>
      <c r="I719" s="18"/>
      <c r="T719" s="13"/>
      <c r="AD719" s="13"/>
    </row>
    <row r="720" ht="12.75" customHeight="1">
      <c r="D720" s="14"/>
      <c r="E720" s="14"/>
      <c r="F720" s="14"/>
      <c r="G720" s="14"/>
      <c r="H720" s="12"/>
      <c r="I720" s="18"/>
      <c r="T720" s="13"/>
      <c r="AD720" s="13"/>
    </row>
    <row r="721" ht="12.75" customHeight="1">
      <c r="D721" s="14"/>
      <c r="E721" s="14"/>
      <c r="F721" s="14"/>
      <c r="G721" s="14"/>
      <c r="H721" s="12"/>
      <c r="I721" s="18"/>
      <c r="T721" s="13"/>
      <c r="AD721" s="13"/>
    </row>
    <row r="722" ht="12.75" customHeight="1">
      <c r="D722" s="14"/>
      <c r="E722" s="14"/>
      <c r="F722" s="14"/>
      <c r="G722" s="14"/>
      <c r="H722" s="12"/>
      <c r="I722" s="18"/>
      <c r="T722" s="13"/>
      <c r="AD722" s="13"/>
    </row>
    <row r="723" ht="12.75" customHeight="1">
      <c r="D723" s="14"/>
      <c r="E723" s="14"/>
      <c r="F723" s="14"/>
      <c r="G723" s="14"/>
      <c r="H723" s="12"/>
      <c r="I723" s="18"/>
      <c r="T723" s="13"/>
      <c r="AD723" s="13"/>
    </row>
    <row r="724" ht="12.75" customHeight="1">
      <c r="D724" s="14"/>
      <c r="E724" s="14"/>
      <c r="F724" s="14"/>
      <c r="G724" s="14"/>
      <c r="H724" s="12"/>
      <c r="I724" s="18"/>
      <c r="T724" s="13"/>
      <c r="AD724" s="13"/>
    </row>
    <row r="725" ht="12.75" customHeight="1">
      <c r="D725" s="14"/>
      <c r="E725" s="14"/>
      <c r="F725" s="14"/>
      <c r="G725" s="14"/>
      <c r="H725" s="12"/>
      <c r="I725" s="18"/>
      <c r="T725" s="13"/>
      <c r="AD725" s="13"/>
    </row>
    <row r="726" ht="12.75" customHeight="1">
      <c r="D726" s="14"/>
      <c r="E726" s="14"/>
      <c r="F726" s="14"/>
      <c r="G726" s="14"/>
      <c r="H726" s="12"/>
      <c r="I726" s="18"/>
      <c r="T726" s="13"/>
      <c r="AD726" s="13"/>
    </row>
    <row r="727" ht="12.75" customHeight="1">
      <c r="D727" s="14"/>
      <c r="E727" s="14"/>
      <c r="F727" s="14"/>
      <c r="G727" s="14"/>
      <c r="H727" s="12"/>
      <c r="I727" s="18"/>
      <c r="T727" s="13"/>
      <c r="AD727" s="13"/>
    </row>
    <row r="728" ht="12.75" customHeight="1">
      <c r="D728" s="14"/>
      <c r="E728" s="14"/>
      <c r="F728" s="14"/>
      <c r="G728" s="14"/>
      <c r="H728" s="12"/>
      <c r="I728" s="18"/>
      <c r="T728" s="13"/>
      <c r="AD728" s="13"/>
    </row>
    <row r="729" ht="12.75" customHeight="1">
      <c r="D729" s="14"/>
      <c r="E729" s="14"/>
      <c r="F729" s="14"/>
      <c r="G729" s="14"/>
      <c r="H729" s="12"/>
      <c r="I729" s="18"/>
      <c r="T729" s="13"/>
      <c r="AD729" s="13"/>
    </row>
    <row r="730" ht="12.75" customHeight="1">
      <c r="D730" s="14"/>
      <c r="E730" s="14"/>
      <c r="F730" s="14"/>
      <c r="G730" s="14"/>
      <c r="H730" s="12"/>
      <c r="I730" s="18"/>
      <c r="T730" s="13"/>
      <c r="AD730" s="13"/>
    </row>
    <row r="731" ht="12.75" customHeight="1">
      <c r="D731" s="14"/>
      <c r="E731" s="14"/>
      <c r="F731" s="14"/>
      <c r="G731" s="14"/>
      <c r="H731" s="12"/>
      <c r="I731" s="18"/>
      <c r="T731" s="13"/>
      <c r="AD731" s="13"/>
    </row>
    <row r="732" ht="12.75" customHeight="1">
      <c r="D732" s="14"/>
      <c r="E732" s="14"/>
      <c r="F732" s="14"/>
      <c r="G732" s="14"/>
      <c r="H732" s="12"/>
      <c r="I732" s="18"/>
      <c r="T732" s="13"/>
      <c r="AD732" s="13"/>
    </row>
    <row r="733" ht="12.75" customHeight="1">
      <c r="D733" s="14"/>
      <c r="E733" s="14"/>
      <c r="F733" s="14"/>
      <c r="G733" s="14"/>
      <c r="H733" s="12"/>
      <c r="I733" s="18"/>
      <c r="T733" s="13"/>
      <c r="AD733" s="13"/>
    </row>
    <row r="734" ht="12.75" customHeight="1">
      <c r="D734" s="14"/>
      <c r="E734" s="14"/>
      <c r="F734" s="14"/>
      <c r="G734" s="14"/>
      <c r="H734" s="12"/>
      <c r="I734" s="18"/>
      <c r="T734" s="13"/>
      <c r="AD734" s="13"/>
    </row>
    <row r="735" ht="12.75" customHeight="1">
      <c r="D735" s="14"/>
      <c r="E735" s="14"/>
      <c r="F735" s="14"/>
      <c r="G735" s="14"/>
      <c r="H735" s="12"/>
      <c r="I735" s="18"/>
      <c r="T735" s="13"/>
      <c r="AD735" s="13"/>
    </row>
    <row r="736" ht="12.75" customHeight="1">
      <c r="D736" s="14"/>
      <c r="E736" s="14"/>
      <c r="F736" s="14"/>
      <c r="G736" s="14"/>
      <c r="H736" s="12"/>
      <c r="I736" s="18"/>
      <c r="T736" s="13"/>
      <c r="AD736" s="13"/>
    </row>
    <row r="737" ht="12.75" customHeight="1">
      <c r="D737" s="14"/>
      <c r="E737" s="14"/>
      <c r="F737" s="14"/>
      <c r="G737" s="14"/>
      <c r="H737" s="12"/>
      <c r="I737" s="18"/>
      <c r="T737" s="13"/>
      <c r="AD737" s="13"/>
    </row>
    <row r="738" ht="12.75" customHeight="1">
      <c r="D738" s="14"/>
      <c r="E738" s="14"/>
      <c r="F738" s="14"/>
      <c r="G738" s="14"/>
      <c r="H738" s="12"/>
      <c r="I738" s="18"/>
      <c r="T738" s="13"/>
      <c r="AD738" s="13"/>
    </row>
    <row r="739" ht="12.75" customHeight="1">
      <c r="D739" s="14"/>
      <c r="E739" s="14"/>
      <c r="F739" s="14"/>
      <c r="G739" s="14"/>
      <c r="H739" s="12"/>
      <c r="I739" s="18"/>
      <c r="T739" s="13"/>
      <c r="AD739" s="13"/>
    </row>
    <row r="740" ht="12.75" customHeight="1">
      <c r="D740" s="14"/>
      <c r="E740" s="14"/>
      <c r="F740" s="14"/>
      <c r="G740" s="14"/>
      <c r="H740" s="12"/>
      <c r="I740" s="18"/>
      <c r="T740" s="13"/>
      <c r="AD740" s="13"/>
    </row>
    <row r="741" ht="12.75" customHeight="1">
      <c r="D741" s="14"/>
      <c r="E741" s="14"/>
      <c r="F741" s="14"/>
      <c r="G741" s="14"/>
      <c r="H741" s="12"/>
      <c r="I741" s="18"/>
      <c r="T741" s="13"/>
      <c r="AD741" s="13"/>
    </row>
    <row r="742" ht="12.75" customHeight="1">
      <c r="D742" s="14"/>
      <c r="E742" s="14"/>
      <c r="F742" s="14"/>
      <c r="G742" s="14"/>
      <c r="H742" s="12"/>
      <c r="I742" s="18"/>
      <c r="T742" s="13"/>
      <c r="AD742" s="13"/>
    </row>
    <row r="743" ht="12.75" customHeight="1">
      <c r="D743" s="14"/>
      <c r="E743" s="14"/>
      <c r="F743" s="14"/>
      <c r="G743" s="14"/>
      <c r="H743" s="12"/>
      <c r="I743" s="18"/>
      <c r="T743" s="13"/>
      <c r="AD743" s="13"/>
    </row>
    <row r="744" ht="12.75" customHeight="1">
      <c r="D744" s="14"/>
      <c r="E744" s="14"/>
      <c r="F744" s="14"/>
      <c r="G744" s="14"/>
      <c r="H744" s="12"/>
      <c r="I744" s="18"/>
      <c r="T744" s="13"/>
      <c r="AD744" s="13"/>
    </row>
    <row r="745" ht="12.75" customHeight="1">
      <c r="D745" s="14"/>
      <c r="E745" s="14"/>
      <c r="F745" s="14"/>
      <c r="G745" s="14"/>
      <c r="H745" s="12"/>
      <c r="I745" s="18"/>
      <c r="T745" s="13"/>
      <c r="AD745" s="13"/>
    </row>
    <row r="746" ht="12.75" customHeight="1">
      <c r="D746" s="14"/>
      <c r="E746" s="14"/>
      <c r="F746" s="14"/>
      <c r="G746" s="14"/>
      <c r="H746" s="12"/>
      <c r="I746" s="18"/>
      <c r="T746" s="13"/>
      <c r="AD746" s="13"/>
    </row>
    <row r="747" ht="12.75" customHeight="1">
      <c r="D747" s="14"/>
      <c r="E747" s="14"/>
      <c r="F747" s="14"/>
      <c r="G747" s="14"/>
      <c r="H747" s="12"/>
      <c r="I747" s="18"/>
      <c r="T747" s="13"/>
      <c r="AD747" s="13"/>
    </row>
    <row r="748" ht="12.75" customHeight="1">
      <c r="D748" s="14"/>
      <c r="E748" s="14"/>
      <c r="F748" s="14"/>
      <c r="G748" s="14"/>
      <c r="H748" s="12"/>
      <c r="I748" s="18"/>
      <c r="T748" s="13"/>
      <c r="AD748" s="13"/>
    </row>
    <row r="749" ht="12.75" customHeight="1">
      <c r="D749" s="14"/>
      <c r="E749" s="14"/>
      <c r="F749" s="14"/>
      <c r="G749" s="14"/>
      <c r="H749" s="12"/>
      <c r="I749" s="18"/>
      <c r="T749" s="13"/>
      <c r="AD749" s="13"/>
    </row>
    <row r="750" ht="12.75" customHeight="1">
      <c r="D750" s="14"/>
      <c r="E750" s="14"/>
      <c r="F750" s="14"/>
      <c r="G750" s="14"/>
      <c r="H750" s="12"/>
      <c r="I750" s="18"/>
      <c r="T750" s="13"/>
      <c r="AD750" s="13"/>
    </row>
    <row r="751" ht="12.75" customHeight="1">
      <c r="D751" s="14"/>
      <c r="E751" s="14"/>
      <c r="F751" s="14"/>
      <c r="G751" s="14"/>
      <c r="H751" s="12"/>
      <c r="I751" s="18"/>
      <c r="T751" s="13"/>
      <c r="AD751" s="13"/>
    </row>
    <row r="752" ht="12.75" customHeight="1">
      <c r="D752" s="14"/>
      <c r="E752" s="14"/>
      <c r="F752" s="14"/>
      <c r="G752" s="14"/>
      <c r="H752" s="12"/>
      <c r="I752" s="18"/>
      <c r="T752" s="13"/>
      <c r="AD752" s="13"/>
    </row>
    <row r="753" ht="12.75" customHeight="1">
      <c r="D753" s="14"/>
      <c r="E753" s="14"/>
      <c r="F753" s="14"/>
      <c r="G753" s="14"/>
      <c r="H753" s="12"/>
      <c r="I753" s="18"/>
      <c r="T753" s="13"/>
      <c r="AD753" s="13"/>
    </row>
    <row r="754" ht="12.75" customHeight="1">
      <c r="D754" s="14"/>
      <c r="E754" s="14"/>
      <c r="F754" s="14"/>
      <c r="G754" s="14"/>
      <c r="H754" s="12"/>
      <c r="I754" s="18"/>
      <c r="T754" s="13"/>
      <c r="AD754" s="13"/>
    </row>
    <row r="755" ht="12.75" customHeight="1">
      <c r="D755" s="14"/>
      <c r="E755" s="14"/>
      <c r="F755" s="14"/>
      <c r="G755" s="14"/>
      <c r="H755" s="12"/>
      <c r="I755" s="18"/>
      <c r="T755" s="13"/>
      <c r="AD755" s="13"/>
    </row>
    <row r="756" ht="12.75" customHeight="1">
      <c r="D756" s="14"/>
      <c r="E756" s="14"/>
      <c r="F756" s="14"/>
      <c r="G756" s="14"/>
      <c r="H756" s="12"/>
      <c r="I756" s="18"/>
      <c r="T756" s="13"/>
      <c r="AD756" s="13"/>
    </row>
    <row r="757" ht="12.75" customHeight="1">
      <c r="D757" s="14"/>
      <c r="E757" s="14"/>
      <c r="F757" s="14"/>
      <c r="G757" s="14"/>
      <c r="H757" s="12"/>
      <c r="I757" s="18"/>
      <c r="T757" s="13"/>
      <c r="AD757" s="13"/>
    </row>
    <row r="758" ht="12.75" customHeight="1">
      <c r="D758" s="14"/>
      <c r="E758" s="14"/>
      <c r="F758" s="14"/>
      <c r="G758" s="14"/>
      <c r="H758" s="12"/>
      <c r="I758" s="18"/>
      <c r="T758" s="13"/>
      <c r="AD758" s="13"/>
    </row>
    <row r="759" ht="12.75" customHeight="1">
      <c r="D759" s="14"/>
      <c r="E759" s="14"/>
      <c r="F759" s="14"/>
      <c r="G759" s="14"/>
      <c r="H759" s="12"/>
      <c r="I759" s="18"/>
      <c r="T759" s="13"/>
      <c r="AD759" s="13"/>
    </row>
    <row r="760" ht="12.75" customHeight="1">
      <c r="D760" s="14"/>
      <c r="E760" s="14"/>
      <c r="F760" s="14"/>
      <c r="G760" s="14"/>
      <c r="H760" s="12"/>
      <c r="I760" s="18"/>
      <c r="T760" s="13"/>
      <c r="AD760" s="13"/>
    </row>
    <row r="761" ht="12.75" customHeight="1">
      <c r="D761" s="14"/>
      <c r="E761" s="14"/>
      <c r="F761" s="14"/>
      <c r="G761" s="14"/>
      <c r="H761" s="12"/>
      <c r="I761" s="18"/>
      <c r="T761" s="13"/>
      <c r="AD761" s="13"/>
    </row>
    <row r="762" ht="12.75" customHeight="1">
      <c r="D762" s="14"/>
      <c r="E762" s="14"/>
      <c r="F762" s="14"/>
      <c r="G762" s="14"/>
      <c r="H762" s="12"/>
      <c r="I762" s="18"/>
      <c r="T762" s="13"/>
      <c r="AD762" s="13"/>
    </row>
    <row r="763" ht="12.75" customHeight="1">
      <c r="D763" s="14"/>
      <c r="E763" s="14"/>
      <c r="F763" s="14"/>
      <c r="G763" s="14"/>
      <c r="H763" s="12"/>
      <c r="I763" s="18"/>
      <c r="T763" s="13"/>
      <c r="AD763" s="13"/>
    </row>
    <row r="764" ht="12.75" customHeight="1">
      <c r="D764" s="14"/>
      <c r="E764" s="14"/>
      <c r="F764" s="14"/>
      <c r="G764" s="14"/>
      <c r="H764" s="12"/>
      <c r="I764" s="18"/>
      <c r="T764" s="13"/>
      <c r="AD764" s="13"/>
    </row>
    <row r="765" ht="12.75" customHeight="1">
      <c r="D765" s="14"/>
      <c r="E765" s="14"/>
      <c r="F765" s="14"/>
      <c r="G765" s="14"/>
      <c r="H765" s="12"/>
      <c r="I765" s="18"/>
      <c r="T765" s="13"/>
      <c r="AD765" s="13"/>
    </row>
    <row r="766" ht="12.75" customHeight="1">
      <c r="D766" s="14"/>
      <c r="E766" s="14"/>
      <c r="F766" s="14"/>
      <c r="G766" s="14"/>
      <c r="H766" s="12"/>
      <c r="I766" s="18"/>
      <c r="T766" s="13"/>
      <c r="AD766" s="13"/>
    </row>
    <row r="767" ht="12.75" customHeight="1">
      <c r="D767" s="14"/>
      <c r="E767" s="14"/>
      <c r="F767" s="14"/>
      <c r="G767" s="14"/>
      <c r="H767" s="12"/>
      <c r="I767" s="18"/>
      <c r="T767" s="13"/>
      <c r="AD767" s="13"/>
    </row>
    <row r="768" ht="12.75" customHeight="1">
      <c r="D768" s="14"/>
      <c r="E768" s="14"/>
      <c r="F768" s="14"/>
      <c r="G768" s="14"/>
      <c r="H768" s="12"/>
      <c r="I768" s="18"/>
      <c r="T768" s="13"/>
      <c r="AD768" s="13"/>
    </row>
    <row r="769" ht="12.75" customHeight="1">
      <c r="D769" s="14"/>
      <c r="E769" s="14"/>
      <c r="F769" s="14"/>
      <c r="G769" s="14"/>
      <c r="H769" s="12"/>
      <c r="I769" s="18"/>
      <c r="T769" s="13"/>
      <c r="AD769" s="13"/>
    </row>
    <row r="770" ht="12.75" customHeight="1">
      <c r="D770" s="14"/>
      <c r="E770" s="14"/>
      <c r="F770" s="14"/>
      <c r="G770" s="14"/>
      <c r="H770" s="12"/>
      <c r="I770" s="18"/>
      <c r="T770" s="13"/>
      <c r="AD770" s="13"/>
    </row>
    <row r="771" ht="12.75" customHeight="1">
      <c r="D771" s="14"/>
      <c r="E771" s="14"/>
      <c r="F771" s="14"/>
      <c r="G771" s="14"/>
      <c r="H771" s="12"/>
      <c r="I771" s="18"/>
      <c r="T771" s="13"/>
      <c r="AD771" s="13"/>
    </row>
    <row r="772" ht="12.75" customHeight="1">
      <c r="D772" s="14"/>
      <c r="E772" s="14"/>
      <c r="F772" s="14"/>
      <c r="G772" s="14"/>
      <c r="H772" s="12"/>
      <c r="I772" s="18"/>
      <c r="T772" s="13"/>
      <c r="AD772" s="13"/>
    </row>
    <row r="773" ht="12.75" customHeight="1">
      <c r="D773" s="14"/>
      <c r="E773" s="14"/>
      <c r="F773" s="14"/>
      <c r="G773" s="14"/>
      <c r="H773" s="12"/>
      <c r="I773" s="18"/>
      <c r="T773" s="13"/>
      <c r="AD773" s="13"/>
    </row>
    <row r="774" ht="12.75" customHeight="1">
      <c r="D774" s="14"/>
      <c r="E774" s="14"/>
      <c r="F774" s="14"/>
      <c r="G774" s="14"/>
      <c r="H774" s="12"/>
      <c r="I774" s="18"/>
      <c r="T774" s="13"/>
      <c r="AD774" s="13"/>
    </row>
    <row r="775" ht="12.75" customHeight="1">
      <c r="D775" s="14"/>
      <c r="E775" s="14"/>
      <c r="F775" s="14"/>
      <c r="G775" s="14"/>
      <c r="H775" s="12"/>
      <c r="I775" s="18"/>
      <c r="T775" s="13"/>
      <c r="AD775" s="13"/>
    </row>
    <row r="776" ht="12.75" customHeight="1">
      <c r="D776" s="14"/>
      <c r="E776" s="14"/>
      <c r="F776" s="14"/>
      <c r="G776" s="14"/>
      <c r="H776" s="12"/>
      <c r="I776" s="18"/>
      <c r="T776" s="13"/>
      <c r="AD776" s="13"/>
    </row>
    <row r="777" ht="12.75" customHeight="1">
      <c r="D777" s="14"/>
      <c r="E777" s="14"/>
      <c r="F777" s="14"/>
      <c r="G777" s="14"/>
      <c r="H777" s="12"/>
      <c r="I777" s="18"/>
      <c r="T777" s="13"/>
      <c r="AD777" s="13"/>
    </row>
    <row r="778" ht="12.75" customHeight="1">
      <c r="D778" s="14"/>
      <c r="E778" s="14"/>
      <c r="F778" s="14"/>
      <c r="G778" s="14"/>
      <c r="H778" s="12"/>
      <c r="I778" s="18"/>
      <c r="T778" s="13"/>
      <c r="AD778" s="13"/>
    </row>
    <row r="779" ht="12.75" customHeight="1">
      <c r="D779" s="14"/>
      <c r="E779" s="14"/>
      <c r="F779" s="14"/>
      <c r="G779" s="14"/>
      <c r="H779" s="12"/>
      <c r="I779" s="18"/>
      <c r="T779" s="13"/>
      <c r="AD779" s="13"/>
    </row>
    <row r="780" ht="12.75" customHeight="1">
      <c r="D780" s="14"/>
      <c r="E780" s="14"/>
      <c r="F780" s="14"/>
      <c r="G780" s="14"/>
      <c r="H780" s="12"/>
      <c r="I780" s="18"/>
      <c r="T780" s="13"/>
      <c r="AD780" s="13"/>
    </row>
    <row r="781" ht="12.75" customHeight="1">
      <c r="D781" s="14"/>
      <c r="E781" s="14"/>
      <c r="F781" s="14"/>
      <c r="G781" s="14"/>
      <c r="H781" s="12"/>
      <c r="I781" s="18"/>
      <c r="T781" s="13"/>
      <c r="AD781" s="13"/>
    </row>
    <row r="782" ht="12.75" customHeight="1">
      <c r="D782" s="14"/>
      <c r="E782" s="14"/>
      <c r="F782" s="14"/>
      <c r="G782" s="14"/>
      <c r="H782" s="12"/>
      <c r="I782" s="18"/>
      <c r="T782" s="13"/>
      <c r="AD782" s="13"/>
    </row>
    <row r="783" ht="12.75" customHeight="1">
      <c r="D783" s="14"/>
      <c r="E783" s="14"/>
      <c r="F783" s="14"/>
      <c r="G783" s="14"/>
      <c r="H783" s="12"/>
      <c r="I783" s="18"/>
      <c r="T783" s="13"/>
      <c r="AD783" s="13"/>
    </row>
    <row r="784" ht="12.75" customHeight="1">
      <c r="D784" s="14"/>
      <c r="E784" s="14"/>
      <c r="F784" s="14"/>
      <c r="G784" s="14"/>
      <c r="H784" s="12"/>
      <c r="I784" s="18"/>
      <c r="T784" s="13"/>
      <c r="AD784" s="13"/>
    </row>
    <row r="785" ht="12.75" customHeight="1">
      <c r="D785" s="14"/>
      <c r="E785" s="14"/>
      <c r="F785" s="14"/>
      <c r="G785" s="14"/>
      <c r="H785" s="12"/>
      <c r="I785" s="18"/>
      <c r="T785" s="13"/>
      <c r="AD785" s="13"/>
    </row>
    <row r="786" ht="12.75" customHeight="1">
      <c r="D786" s="14"/>
      <c r="E786" s="14"/>
      <c r="F786" s="14"/>
      <c r="G786" s="14"/>
      <c r="H786" s="12"/>
      <c r="I786" s="18"/>
      <c r="T786" s="13"/>
      <c r="AD786" s="13"/>
    </row>
    <row r="787" ht="12.75" customHeight="1">
      <c r="D787" s="14"/>
      <c r="E787" s="14"/>
      <c r="F787" s="14"/>
      <c r="G787" s="14"/>
      <c r="H787" s="12"/>
      <c r="I787" s="18"/>
      <c r="T787" s="13"/>
      <c r="AD787" s="13"/>
    </row>
    <row r="788" ht="12.75" customHeight="1">
      <c r="D788" s="14"/>
      <c r="E788" s="14"/>
      <c r="F788" s="14"/>
      <c r="G788" s="14"/>
      <c r="H788" s="12"/>
      <c r="I788" s="18"/>
      <c r="T788" s="13"/>
      <c r="AD788" s="13"/>
    </row>
    <row r="789" ht="12.75" customHeight="1">
      <c r="D789" s="14"/>
      <c r="E789" s="14"/>
      <c r="F789" s="14"/>
      <c r="G789" s="14"/>
      <c r="H789" s="12"/>
      <c r="I789" s="18"/>
      <c r="T789" s="13"/>
      <c r="AD789" s="13"/>
    </row>
    <row r="790" ht="12.75" customHeight="1">
      <c r="D790" s="14"/>
      <c r="E790" s="14"/>
      <c r="F790" s="14"/>
      <c r="G790" s="14"/>
      <c r="H790" s="12"/>
      <c r="I790" s="18"/>
      <c r="T790" s="13"/>
      <c r="AD790" s="13"/>
    </row>
    <row r="791" ht="12.75" customHeight="1">
      <c r="D791" s="14"/>
      <c r="E791" s="14"/>
      <c r="F791" s="14"/>
      <c r="G791" s="14"/>
      <c r="H791" s="12"/>
      <c r="I791" s="18"/>
      <c r="T791" s="13"/>
      <c r="AD791" s="13"/>
    </row>
    <row r="792" ht="12.75" customHeight="1">
      <c r="D792" s="14"/>
      <c r="E792" s="14"/>
      <c r="F792" s="14"/>
      <c r="G792" s="14"/>
      <c r="H792" s="12"/>
      <c r="I792" s="18"/>
      <c r="T792" s="13"/>
      <c r="AD792" s="13"/>
    </row>
    <row r="793" ht="12.75" customHeight="1">
      <c r="D793" s="14"/>
      <c r="E793" s="14"/>
      <c r="F793" s="14"/>
      <c r="G793" s="14"/>
      <c r="H793" s="12"/>
      <c r="I793" s="18"/>
      <c r="T793" s="13"/>
      <c r="AD793" s="13"/>
    </row>
    <row r="794" ht="12.75" customHeight="1">
      <c r="D794" s="14"/>
      <c r="E794" s="14"/>
      <c r="F794" s="14"/>
      <c r="G794" s="14"/>
      <c r="H794" s="12"/>
      <c r="I794" s="18"/>
      <c r="T794" s="13"/>
      <c r="AD794" s="13"/>
    </row>
    <row r="795" ht="12.75" customHeight="1">
      <c r="D795" s="14"/>
      <c r="E795" s="14"/>
      <c r="F795" s="14"/>
      <c r="G795" s="14"/>
      <c r="H795" s="12"/>
      <c r="I795" s="18"/>
      <c r="T795" s="13"/>
      <c r="AD795" s="13"/>
    </row>
    <row r="796" ht="12.75" customHeight="1">
      <c r="D796" s="14"/>
      <c r="E796" s="14"/>
      <c r="F796" s="14"/>
      <c r="G796" s="14"/>
      <c r="H796" s="12"/>
      <c r="I796" s="18"/>
      <c r="T796" s="13"/>
      <c r="AD796" s="13"/>
    </row>
    <row r="797" ht="12.75" customHeight="1">
      <c r="D797" s="14"/>
      <c r="E797" s="14"/>
      <c r="F797" s="14"/>
      <c r="G797" s="14"/>
      <c r="H797" s="12"/>
      <c r="I797" s="18"/>
      <c r="T797" s="13"/>
      <c r="AD797" s="13"/>
    </row>
    <row r="798" ht="12.75" customHeight="1">
      <c r="D798" s="14"/>
      <c r="E798" s="14"/>
      <c r="F798" s="14"/>
      <c r="G798" s="14"/>
      <c r="H798" s="12"/>
      <c r="I798" s="18"/>
      <c r="T798" s="13"/>
      <c r="AD798" s="13"/>
    </row>
    <row r="799" ht="12.75" customHeight="1">
      <c r="D799" s="14"/>
      <c r="E799" s="14"/>
      <c r="F799" s="14"/>
      <c r="G799" s="14"/>
      <c r="H799" s="12"/>
      <c r="I799" s="18"/>
      <c r="T799" s="13"/>
      <c r="AD799" s="13"/>
    </row>
    <row r="800" ht="12.75" customHeight="1">
      <c r="D800" s="14"/>
      <c r="E800" s="14"/>
      <c r="F800" s="14"/>
      <c r="G800" s="14"/>
      <c r="H800" s="12"/>
      <c r="I800" s="18"/>
      <c r="T800" s="13"/>
      <c r="AD800" s="13"/>
    </row>
    <row r="801" ht="12.75" customHeight="1">
      <c r="D801" s="14"/>
      <c r="E801" s="14"/>
      <c r="F801" s="14"/>
      <c r="G801" s="14"/>
      <c r="H801" s="12"/>
      <c r="I801" s="18"/>
      <c r="T801" s="13"/>
      <c r="AD801" s="13"/>
    </row>
    <row r="802" ht="12.75" customHeight="1">
      <c r="D802" s="14"/>
      <c r="E802" s="14"/>
      <c r="F802" s="14"/>
      <c r="G802" s="14"/>
      <c r="H802" s="12"/>
      <c r="I802" s="18"/>
      <c r="T802" s="13"/>
      <c r="AD802" s="13"/>
    </row>
    <row r="803" ht="12.75" customHeight="1">
      <c r="D803" s="14"/>
      <c r="E803" s="14"/>
      <c r="F803" s="14"/>
      <c r="G803" s="14"/>
      <c r="H803" s="12"/>
      <c r="I803" s="18"/>
      <c r="T803" s="13"/>
      <c r="AD803" s="13"/>
    </row>
    <row r="804" ht="12.75" customHeight="1">
      <c r="D804" s="14"/>
      <c r="E804" s="14"/>
      <c r="F804" s="14"/>
      <c r="G804" s="14"/>
      <c r="H804" s="12"/>
      <c r="I804" s="18"/>
      <c r="T804" s="13"/>
      <c r="AD804" s="13"/>
    </row>
    <row r="805" ht="12.75" customHeight="1">
      <c r="D805" s="14"/>
      <c r="E805" s="14"/>
      <c r="F805" s="14"/>
      <c r="G805" s="14"/>
      <c r="H805" s="12"/>
      <c r="I805" s="18"/>
      <c r="T805" s="13"/>
      <c r="AD805" s="13"/>
    </row>
    <row r="806" ht="12.75" customHeight="1">
      <c r="D806" s="14"/>
      <c r="E806" s="14"/>
      <c r="F806" s="14"/>
      <c r="G806" s="14"/>
      <c r="H806" s="12"/>
      <c r="I806" s="18"/>
      <c r="T806" s="13"/>
      <c r="AD806" s="13"/>
    </row>
    <row r="807" ht="12.75" customHeight="1">
      <c r="D807" s="14"/>
      <c r="E807" s="14"/>
      <c r="F807" s="14"/>
      <c r="G807" s="14"/>
      <c r="H807" s="12"/>
      <c r="I807" s="18"/>
      <c r="T807" s="13"/>
      <c r="AD807" s="13"/>
    </row>
    <row r="808" ht="12.75" customHeight="1">
      <c r="D808" s="14"/>
      <c r="E808" s="14"/>
      <c r="F808" s="14"/>
      <c r="G808" s="14"/>
      <c r="H808" s="12"/>
      <c r="I808" s="18"/>
      <c r="T808" s="13"/>
      <c r="AD808" s="13"/>
    </row>
    <row r="809" ht="12.75" customHeight="1">
      <c r="D809" s="14"/>
      <c r="E809" s="14"/>
      <c r="F809" s="14"/>
      <c r="G809" s="14"/>
      <c r="H809" s="12"/>
      <c r="I809" s="18"/>
      <c r="T809" s="13"/>
      <c r="AD809" s="13"/>
    </row>
    <row r="810" ht="12.75" customHeight="1">
      <c r="D810" s="14"/>
      <c r="E810" s="14"/>
      <c r="F810" s="14"/>
      <c r="G810" s="14"/>
      <c r="H810" s="12"/>
      <c r="I810" s="18"/>
      <c r="T810" s="13"/>
      <c r="AD810" s="13"/>
    </row>
    <row r="811" ht="12.75" customHeight="1">
      <c r="D811" s="14"/>
      <c r="E811" s="14"/>
      <c r="F811" s="14"/>
      <c r="G811" s="14"/>
      <c r="H811" s="12"/>
      <c r="I811" s="18"/>
      <c r="T811" s="13"/>
      <c r="AD811" s="13"/>
    </row>
    <row r="812" ht="12.75" customHeight="1">
      <c r="D812" s="14"/>
      <c r="E812" s="14"/>
      <c r="F812" s="14"/>
      <c r="G812" s="14"/>
      <c r="H812" s="12"/>
      <c r="I812" s="18"/>
      <c r="T812" s="13"/>
      <c r="AD812" s="13"/>
    </row>
    <row r="813" ht="12.75" customHeight="1">
      <c r="D813" s="14"/>
      <c r="E813" s="14"/>
      <c r="F813" s="14"/>
      <c r="G813" s="14"/>
      <c r="H813" s="12"/>
      <c r="I813" s="18"/>
      <c r="T813" s="13"/>
      <c r="AD813" s="13"/>
    </row>
    <row r="814" ht="12.75" customHeight="1">
      <c r="D814" s="14"/>
      <c r="E814" s="14"/>
      <c r="F814" s="14"/>
      <c r="G814" s="14"/>
      <c r="H814" s="12"/>
      <c r="I814" s="18"/>
      <c r="T814" s="13"/>
      <c r="AD814" s="13"/>
    </row>
    <row r="815" ht="12.75" customHeight="1">
      <c r="D815" s="14"/>
      <c r="E815" s="14"/>
      <c r="F815" s="14"/>
      <c r="G815" s="14"/>
      <c r="H815" s="12"/>
      <c r="I815" s="18"/>
      <c r="T815" s="13"/>
      <c r="AD815" s="13"/>
    </row>
    <row r="816" ht="12.75" customHeight="1">
      <c r="D816" s="14"/>
      <c r="E816" s="14"/>
      <c r="F816" s="14"/>
      <c r="G816" s="14"/>
      <c r="H816" s="12"/>
      <c r="I816" s="18"/>
      <c r="T816" s="13"/>
      <c r="AD816" s="13"/>
    </row>
    <row r="817" ht="12.75" customHeight="1">
      <c r="D817" s="14"/>
      <c r="E817" s="14"/>
      <c r="F817" s="14"/>
      <c r="G817" s="14"/>
      <c r="H817" s="12"/>
      <c r="I817" s="18"/>
      <c r="T817" s="13"/>
      <c r="AD817" s="13"/>
    </row>
    <row r="818" ht="12.75" customHeight="1">
      <c r="D818" s="14"/>
      <c r="E818" s="14"/>
      <c r="F818" s="14"/>
      <c r="G818" s="14"/>
      <c r="H818" s="12"/>
      <c r="I818" s="18"/>
      <c r="T818" s="13"/>
      <c r="AD818" s="13"/>
    </row>
    <row r="819" ht="12.75" customHeight="1">
      <c r="D819" s="14"/>
      <c r="E819" s="14"/>
      <c r="F819" s="14"/>
      <c r="G819" s="14"/>
      <c r="H819" s="12"/>
      <c r="I819" s="18"/>
      <c r="T819" s="13"/>
      <c r="AD819" s="13"/>
    </row>
    <row r="820" ht="12.75" customHeight="1">
      <c r="D820" s="14"/>
      <c r="E820" s="14"/>
      <c r="F820" s="14"/>
      <c r="G820" s="14"/>
      <c r="H820" s="12"/>
      <c r="I820" s="18"/>
      <c r="T820" s="13"/>
      <c r="AD820" s="13"/>
    </row>
    <row r="821" ht="12.75" customHeight="1">
      <c r="D821" s="14"/>
      <c r="E821" s="14"/>
      <c r="F821" s="14"/>
      <c r="G821" s="14"/>
      <c r="H821" s="12"/>
      <c r="I821" s="18"/>
      <c r="T821" s="13"/>
      <c r="AD821" s="13"/>
    </row>
    <row r="822" ht="12.75" customHeight="1">
      <c r="D822" s="14"/>
      <c r="E822" s="14"/>
      <c r="F822" s="14"/>
      <c r="G822" s="14"/>
      <c r="H822" s="12"/>
      <c r="I822" s="18"/>
      <c r="T822" s="13"/>
      <c r="AD822" s="13"/>
    </row>
    <row r="823" ht="12.75" customHeight="1">
      <c r="D823" s="14"/>
      <c r="E823" s="14"/>
      <c r="F823" s="14"/>
      <c r="G823" s="14"/>
      <c r="H823" s="12"/>
      <c r="I823" s="18"/>
      <c r="T823" s="13"/>
      <c r="AD823" s="13"/>
    </row>
    <row r="824" ht="12.75" customHeight="1">
      <c r="D824" s="14"/>
      <c r="E824" s="14"/>
      <c r="F824" s="14"/>
      <c r="G824" s="14"/>
      <c r="H824" s="12"/>
      <c r="I824" s="18"/>
      <c r="T824" s="13"/>
      <c r="AD824" s="13"/>
    </row>
    <row r="825" ht="12.75" customHeight="1">
      <c r="D825" s="14"/>
      <c r="E825" s="14"/>
      <c r="F825" s="14"/>
      <c r="G825" s="14"/>
      <c r="H825" s="12"/>
      <c r="I825" s="18"/>
      <c r="T825" s="13"/>
      <c r="AD825" s="13"/>
    </row>
    <row r="826" ht="12.75" customHeight="1">
      <c r="D826" s="14"/>
      <c r="E826" s="14"/>
      <c r="F826" s="14"/>
      <c r="G826" s="14"/>
      <c r="H826" s="12"/>
      <c r="I826" s="18"/>
      <c r="T826" s="13"/>
      <c r="AD826" s="13"/>
    </row>
    <row r="827" ht="12.75" customHeight="1">
      <c r="D827" s="14"/>
      <c r="E827" s="14"/>
      <c r="F827" s="14"/>
      <c r="G827" s="14"/>
      <c r="H827" s="12"/>
      <c r="I827" s="18"/>
      <c r="T827" s="13"/>
      <c r="AD827" s="13"/>
    </row>
    <row r="828" ht="12.75" customHeight="1">
      <c r="D828" s="14"/>
      <c r="E828" s="14"/>
      <c r="F828" s="14"/>
      <c r="G828" s="14"/>
      <c r="H828" s="12"/>
      <c r="I828" s="18"/>
      <c r="T828" s="13"/>
      <c r="AD828" s="13"/>
    </row>
    <row r="829" ht="12.75" customHeight="1">
      <c r="D829" s="14"/>
      <c r="E829" s="14"/>
      <c r="F829" s="14"/>
      <c r="G829" s="14"/>
      <c r="H829" s="12"/>
      <c r="I829" s="18"/>
      <c r="T829" s="13"/>
      <c r="AD829" s="13"/>
    </row>
    <row r="830" ht="12.75" customHeight="1">
      <c r="D830" s="14"/>
      <c r="E830" s="14"/>
      <c r="F830" s="14"/>
      <c r="G830" s="14"/>
      <c r="H830" s="12"/>
      <c r="I830" s="18"/>
      <c r="T830" s="13"/>
      <c r="AD830" s="13"/>
    </row>
    <row r="831" ht="12.75" customHeight="1">
      <c r="D831" s="14"/>
      <c r="E831" s="14"/>
      <c r="F831" s="14"/>
      <c r="G831" s="14"/>
      <c r="H831" s="12"/>
      <c r="I831" s="18"/>
      <c r="T831" s="13"/>
      <c r="AD831" s="13"/>
    </row>
    <row r="832" ht="12.75" customHeight="1">
      <c r="D832" s="14"/>
      <c r="E832" s="14"/>
      <c r="F832" s="14"/>
      <c r="G832" s="14"/>
      <c r="H832" s="12"/>
      <c r="I832" s="18"/>
      <c r="T832" s="13"/>
      <c r="AD832" s="13"/>
    </row>
    <row r="833" ht="12.75" customHeight="1">
      <c r="D833" s="14"/>
      <c r="E833" s="14"/>
      <c r="F833" s="14"/>
      <c r="G833" s="14"/>
      <c r="H833" s="12"/>
      <c r="I833" s="18"/>
      <c r="T833" s="13"/>
      <c r="AD833" s="13"/>
    </row>
    <row r="834" ht="12.75" customHeight="1">
      <c r="D834" s="14"/>
      <c r="E834" s="14"/>
      <c r="F834" s="14"/>
      <c r="G834" s="14"/>
      <c r="H834" s="12"/>
      <c r="I834" s="18"/>
      <c r="T834" s="13"/>
      <c r="AD834" s="13"/>
    </row>
    <row r="835" ht="12.75" customHeight="1">
      <c r="D835" s="14"/>
      <c r="E835" s="14"/>
      <c r="F835" s="14"/>
      <c r="G835" s="14"/>
      <c r="H835" s="12"/>
      <c r="I835" s="18"/>
      <c r="T835" s="13"/>
      <c r="AD835" s="13"/>
    </row>
    <row r="836" ht="12.75" customHeight="1">
      <c r="D836" s="14"/>
      <c r="E836" s="14"/>
      <c r="F836" s="14"/>
      <c r="G836" s="14"/>
      <c r="H836" s="12"/>
      <c r="I836" s="18"/>
      <c r="T836" s="13"/>
      <c r="AD836" s="13"/>
    </row>
    <row r="837" ht="12.75" customHeight="1">
      <c r="D837" s="14"/>
      <c r="E837" s="14"/>
      <c r="F837" s="14"/>
      <c r="G837" s="14"/>
      <c r="H837" s="12"/>
      <c r="I837" s="18"/>
      <c r="T837" s="13"/>
      <c r="AD837" s="13"/>
    </row>
    <row r="838" ht="12.75" customHeight="1">
      <c r="D838" s="14"/>
      <c r="E838" s="14"/>
      <c r="F838" s="14"/>
      <c r="G838" s="14"/>
      <c r="H838" s="12"/>
      <c r="I838" s="18"/>
      <c r="T838" s="13"/>
      <c r="AD838" s="13"/>
    </row>
    <row r="839" ht="12.75" customHeight="1">
      <c r="D839" s="14"/>
      <c r="E839" s="14"/>
      <c r="F839" s="14"/>
      <c r="G839" s="14"/>
      <c r="H839" s="12"/>
      <c r="I839" s="18"/>
      <c r="T839" s="13"/>
      <c r="AD839" s="13"/>
    </row>
    <row r="840" ht="12.75" customHeight="1">
      <c r="D840" s="14"/>
      <c r="E840" s="14"/>
      <c r="F840" s="14"/>
      <c r="G840" s="14"/>
      <c r="H840" s="12"/>
      <c r="I840" s="18"/>
      <c r="T840" s="13"/>
      <c r="AD840" s="13"/>
    </row>
    <row r="841" ht="12.75" customHeight="1">
      <c r="D841" s="14"/>
      <c r="E841" s="14"/>
      <c r="F841" s="14"/>
      <c r="G841" s="14"/>
      <c r="H841" s="12"/>
      <c r="I841" s="18"/>
      <c r="T841" s="13"/>
      <c r="AD841" s="13"/>
    </row>
    <row r="842" ht="12.75" customHeight="1">
      <c r="D842" s="14"/>
      <c r="E842" s="14"/>
      <c r="F842" s="14"/>
      <c r="G842" s="14"/>
      <c r="H842" s="12"/>
      <c r="I842" s="18"/>
      <c r="T842" s="13"/>
      <c r="AD842" s="13"/>
    </row>
    <row r="843" ht="12.75" customHeight="1">
      <c r="D843" s="14"/>
      <c r="E843" s="14"/>
      <c r="F843" s="14"/>
      <c r="G843" s="14"/>
      <c r="H843" s="12"/>
      <c r="I843" s="18"/>
      <c r="T843" s="13"/>
      <c r="AD843" s="13"/>
    </row>
    <row r="844" ht="12.75" customHeight="1">
      <c r="D844" s="14"/>
      <c r="E844" s="14"/>
      <c r="F844" s="14"/>
      <c r="G844" s="14"/>
      <c r="H844" s="12"/>
      <c r="I844" s="18"/>
      <c r="T844" s="13"/>
      <c r="AD844" s="13"/>
    </row>
    <row r="845" ht="12.75" customHeight="1">
      <c r="D845" s="14"/>
      <c r="E845" s="14"/>
      <c r="F845" s="14"/>
      <c r="G845" s="14"/>
      <c r="H845" s="12"/>
      <c r="I845" s="18"/>
      <c r="T845" s="13"/>
      <c r="AD845" s="13"/>
    </row>
    <row r="846" ht="12.75" customHeight="1">
      <c r="D846" s="14"/>
      <c r="E846" s="14"/>
      <c r="F846" s="14"/>
      <c r="G846" s="14"/>
      <c r="H846" s="12"/>
      <c r="I846" s="18"/>
      <c r="T846" s="13"/>
      <c r="AD846" s="13"/>
    </row>
    <row r="847" ht="12.75" customHeight="1">
      <c r="D847" s="14"/>
      <c r="E847" s="14"/>
      <c r="F847" s="14"/>
      <c r="G847" s="14"/>
      <c r="H847" s="12"/>
      <c r="I847" s="18"/>
      <c r="T847" s="13"/>
      <c r="AD847" s="13"/>
    </row>
    <row r="848" ht="12.75" customHeight="1">
      <c r="D848" s="14"/>
      <c r="E848" s="14"/>
      <c r="F848" s="14"/>
      <c r="G848" s="14"/>
      <c r="H848" s="12"/>
      <c r="I848" s="18"/>
      <c r="T848" s="13"/>
      <c r="AD848" s="13"/>
    </row>
    <row r="849" ht="12.75" customHeight="1">
      <c r="D849" s="14"/>
      <c r="E849" s="14"/>
      <c r="F849" s="14"/>
      <c r="G849" s="14"/>
      <c r="H849" s="12"/>
      <c r="I849" s="18"/>
      <c r="T849" s="13"/>
      <c r="AD849" s="13"/>
    </row>
    <row r="850" ht="12.75" customHeight="1">
      <c r="D850" s="14"/>
      <c r="E850" s="14"/>
      <c r="F850" s="14"/>
      <c r="G850" s="14"/>
      <c r="H850" s="12"/>
      <c r="I850" s="18"/>
      <c r="T850" s="13"/>
      <c r="AD850" s="13"/>
    </row>
    <row r="851" ht="12.75" customHeight="1">
      <c r="D851" s="14"/>
      <c r="E851" s="14"/>
      <c r="F851" s="14"/>
      <c r="G851" s="14"/>
      <c r="H851" s="12"/>
      <c r="I851" s="18"/>
      <c r="T851" s="13"/>
      <c r="AD851" s="13"/>
    </row>
    <row r="852" ht="12.75" customHeight="1">
      <c r="D852" s="14"/>
      <c r="E852" s="14"/>
      <c r="F852" s="14"/>
      <c r="G852" s="14"/>
      <c r="H852" s="12"/>
      <c r="I852" s="18"/>
      <c r="T852" s="13"/>
      <c r="AD852" s="13"/>
    </row>
    <row r="853" ht="12.75" customHeight="1">
      <c r="D853" s="14"/>
      <c r="E853" s="14"/>
      <c r="F853" s="14"/>
      <c r="G853" s="14"/>
      <c r="H853" s="12"/>
      <c r="I853" s="18"/>
      <c r="T853" s="13"/>
      <c r="AD853" s="13"/>
    </row>
    <row r="854" ht="12.75" customHeight="1">
      <c r="D854" s="14"/>
      <c r="E854" s="14"/>
      <c r="F854" s="14"/>
      <c r="G854" s="14"/>
      <c r="H854" s="12"/>
      <c r="I854" s="18"/>
      <c r="T854" s="13"/>
      <c r="AD854" s="13"/>
    </row>
    <row r="855" ht="12.75" customHeight="1">
      <c r="D855" s="14"/>
      <c r="E855" s="14"/>
      <c r="F855" s="14"/>
      <c r="G855" s="14"/>
      <c r="H855" s="12"/>
      <c r="I855" s="18"/>
      <c r="T855" s="13"/>
      <c r="AD855" s="13"/>
    </row>
    <row r="856" ht="12.75" customHeight="1">
      <c r="D856" s="14"/>
      <c r="E856" s="14"/>
      <c r="F856" s="14"/>
      <c r="G856" s="14"/>
      <c r="H856" s="12"/>
      <c r="I856" s="18"/>
      <c r="T856" s="13"/>
      <c r="AD856" s="13"/>
    </row>
    <row r="857" ht="12.75" customHeight="1">
      <c r="D857" s="14"/>
      <c r="E857" s="14"/>
      <c r="F857" s="14"/>
      <c r="G857" s="14"/>
      <c r="H857" s="12"/>
      <c r="I857" s="18"/>
      <c r="T857" s="13"/>
      <c r="AD857" s="13"/>
    </row>
    <row r="858" ht="12.75" customHeight="1">
      <c r="D858" s="14"/>
      <c r="E858" s="14"/>
      <c r="F858" s="14"/>
      <c r="G858" s="14"/>
      <c r="H858" s="12"/>
      <c r="I858" s="18"/>
      <c r="T858" s="13"/>
      <c r="AD858" s="13"/>
    </row>
    <row r="859" ht="12.75" customHeight="1">
      <c r="D859" s="14"/>
      <c r="E859" s="14"/>
      <c r="F859" s="14"/>
      <c r="G859" s="14"/>
      <c r="H859" s="12"/>
      <c r="I859" s="18"/>
      <c r="T859" s="13"/>
      <c r="AD859" s="13"/>
    </row>
    <row r="860" ht="12.75" customHeight="1">
      <c r="D860" s="14"/>
      <c r="E860" s="14"/>
      <c r="F860" s="14"/>
      <c r="G860" s="14"/>
      <c r="H860" s="12"/>
      <c r="I860" s="18"/>
      <c r="T860" s="13"/>
      <c r="AD860" s="13"/>
    </row>
    <row r="861" ht="12.75" customHeight="1">
      <c r="D861" s="14"/>
      <c r="E861" s="14"/>
      <c r="F861" s="14"/>
      <c r="G861" s="14"/>
      <c r="H861" s="12"/>
      <c r="I861" s="18"/>
      <c r="T861" s="13"/>
      <c r="AD861" s="13"/>
    </row>
    <row r="862" ht="12.75" customHeight="1">
      <c r="D862" s="14"/>
      <c r="E862" s="14"/>
      <c r="F862" s="14"/>
      <c r="G862" s="14"/>
      <c r="H862" s="12"/>
      <c r="I862" s="18"/>
      <c r="T862" s="13"/>
      <c r="AD862" s="13"/>
    </row>
    <row r="863" ht="12.75" customHeight="1">
      <c r="D863" s="14"/>
      <c r="E863" s="14"/>
      <c r="F863" s="14"/>
      <c r="G863" s="14"/>
      <c r="H863" s="12"/>
      <c r="I863" s="18"/>
      <c r="T863" s="13"/>
      <c r="AD863" s="13"/>
    </row>
    <row r="864" ht="12.75" customHeight="1">
      <c r="D864" s="14"/>
      <c r="E864" s="14"/>
      <c r="F864" s="14"/>
      <c r="G864" s="14"/>
      <c r="H864" s="12"/>
      <c r="I864" s="18"/>
      <c r="T864" s="13"/>
      <c r="AD864" s="13"/>
    </row>
    <row r="865" ht="12.75" customHeight="1">
      <c r="D865" s="14"/>
      <c r="E865" s="14"/>
      <c r="F865" s="14"/>
      <c r="G865" s="14"/>
      <c r="H865" s="12"/>
      <c r="I865" s="18"/>
      <c r="T865" s="13"/>
      <c r="AD865" s="13"/>
    </row>
    <row r="866" ht="12.75" customHeight="1">
      <c r="D866" s="14"/>
      <c r="E866" s="14"/>
      <c r="F866" s="14"/>
      <c r="G866" s="14"/>
      <c r="H866" s="12"/>
      <c r="I866" s="18"/>
      <c r="T866" s="13"/>
      <c r="AD866" s="13"/>
    </row>
    <row r="867" ht="12.75" customHeight="1">
      <c r="D867" s="14"/>
      <c r="E867" s="14"/>
      <c r="F867" s="14"/>
      <c r="G867" s="14"/>
      <c r="H867" s="12"/>
      <c r="I867" s="18"/>
      <c r="T867" s="13"/>
      <c r="AD867" s="13"/>
    </row>
    <row r="868" ht="12.75" customHeight="1">
      <c r="D868" s="14"/>
      <c r="E868" s="14"/>
      <c r="F868" s="14"/>
      <c r="G868" s="14"/>
      <c r="H868" s="12"/>
      <c r="I868" s="18"/>
      <c r="T868" s="13"/>
      <c r="AD868" s="13"/>
    </row>
    <row r="869" ht="12.75" customHeight="1">
      <c r="D869" s="14"/>
      <c r="E869" s="14"/>
      <c r="F869" s="14"/>
      <c r="G869" s="14"/>
      <c r="H869" s="12"/>
      <c r="I869" s="18"/>
      <c r="T869" s="13"/>
      <c r="AD869" s="13"/>
    </row>
    <row r="870" ht="12.75" customHeight="1">
      <c r="D870" s="14"/>
      <c r="E870" s="14"/>
      <c r="F870" s="14"/>
      <c r="G870" s="14"/>
      <c r="H870" s="12"/>
      <c r="I870" s="18"/>
      <c r="T870" s="13"/>
      <c r="AD870" s="13"/>
    </row>
    <row r="871" ht="12.75" customHeight="1">
      <c r="D871" s="14"/>
      <c r="E871" s="14"/>
      <c r="F871" s="14"/>
      <c r="G871" s="14"/>
      <c r="H871" s="12"/>
      <c r="I871" s="18"/>
      <c r="T871" s="13"/>
      <c r="AD871" s="13"/>
    </row>
    <row r="872" ht="12.75" customHeight="1">
      <c r="D872" s="14"/>
      <c r="E872" s="14"/>
      <c r="F872" s="14"/>
      <c r="G872" s="14"/>
      <c r="H872" s="12"/>
      <c r="I872" s="18"/>
      <c r="T872" s="13"/>
      <c r="AD872" s="13"/>
    </row>
    <row r="873" ht="12.75" customHeight="1">
      <c r="D873" s="14"/>
      <c r="E873" s="14"/>
      <c r="F873" s="14"/>
      <c r="G873" s="14"/>
      <c r="H873" s="12"/>
      <c r="I873" s="18"/>
      <c r="T873" s="13"/>
      <c r="AD873" s="13"/>
    </row>
    <row r="874" ht="12.75" customHeight="1">
      <c r="D874" s="14"/>
      <c r="E874" s="14"/>
      <c r="F874" s="14"/>
      <c r="G874" s="14"/>
      <c r="H874" s="12"/>
      <c r="I874" s="18"/>
      <c r="T874" s="13"/>
      <c r="AD874" s="13"/>
    </row>
    <row r="875" ht="12.75" customHeight="1">
      <c r="D875" s="14"/>
      <c r="E875" s="14"/>
      <c r="F875" s="14"/>
      <c r="G875" s="14"/>
      <c r="H875" s="12"/>
      <c r="I875" s="18"/>
      <c r="T875" s="13"/>
      <c r="AD875" s="13"/>
    </row>
    <row r="876" ht="12.75" customHeight="1">
      <c r="D876" s="14"/>
      <c r="E876" s="14"/>
      <c r="F876" s="14"/>
      <c r="G876" s="14"/>
      <c r="H876" s="12"/>
      <c r="I876" s="18"/>
      <c r="T876" s="13"/>
      <c r="AD876" s="13"/>
    </row>
    <row r="877" ht="12.75" customHeight="1">
      <c r="D877" s="14"/>
      <c r="E877" s="14"/>
      <c r="F877" s="14"/>
      <c r="G877" s="14"/>
      <c r="H877" s="12"/>
      <c r="I877" s="18"/>
      <c r="T877" s="13"/>
      <c r="AD877" s="13"/>
    </row>
    <row r="878" ht="12.75" customHeight="1">
      <c r="D878" s="14"/>
      <c r="E878" s="14"/>
      <c r="F878" s="14"/>
      <c r="G878" s="14"/>
      <c r="H878" s="12"/>
      <c r="I878" s="18"/>
      <c r="T878" s="13"/>
      <c r="AD878" s="13"/>
    </row>
    <row r="879" ht="12.75" customHeight="1">
      <c r="D879" s="14"/>
      <c r="E879" s="14"/>
      <c r="F879" s="14"/>
      <c r="G879" s="14"/>
      <c r="H879" s="12"/>
      <c r="I879" s="18"/>
      <c r="T879" s="13"/>
      <c r="AD879" s="13"/>
    </row>
    <row r="880" ht="12.75" customHeight="1">
      <c r="D880" s="14"/>
      <c r="E880" s="14"/>
      <c r="F880" s="14"/>
      <c r="G880" s="14"/>
      <c r="H880" s="12"/>
      <c r="I880" s="18"/>
      <c r="T880" s="13"/>
      <c r="AD880" s="13"/>
    </row>
    <row r="881" ht="12.75" customHeight="1">
      <c r="D881" s="14"/>
      <c r="E881" s="14"/>
      <c r="F881" s="14"/>
      <c r="G881" s="14"/>
      <c r="H881" s="12"/>
      <c r="I881" s="18"/>
      <c r="T881" s="13"/>
      <c r="AD881" s="13"/>
    </row>
    <row r="882" ht="12.75" customHeight="1">
      <c r="D882" s="14"/>
      <c r="E882" s="14"/>
      <c r="F882" s="14"/>
      <c r="G882" s="14"/>
      <c r="H882" s="12"/>
      <c r="I882" s="18"/>
      <c r="T882" s="13"/>
      <c r="AD882" s="13"/>
    </row>
    <row r="883" ht="12.75" customHeight="1">
      <c r="D883" s="14"/>
      <c r="E883" s="14"/>
      <c r="F883" s="14"/>
      <c r="G883" s="14"/>
      <c r="H883" s="12"/>
      <c r="I883" s="18"/>
      <c r="T883" s="13"/>
      <c r="AD883" s="13"/>
    </row>
    <row r="884" ht="12.75" customHeight="1">
      <c r="D884" s="14"/>
      <c r="E884" s="14"/>
      <c r="F884" s="14"/>
      <c r="G884" s="14"/>
      <c r="H884" s="12"/>
      <c r="I884" s="18"/>
      <c r="T884" s="13"/>
      <c r="AD884" s="13"/>
    </row>
    <row r="885" ht="12.75" customHeight="1">
      <c r="D885" s="14"/>
      <c r="E885" s="14"/>
      <c r="F885" s="14"/>
      <c r="G885" s="14"/>
      <c r="H885" s="12"/>
      <c r="I885" s="18"/>
      <c r="T885" s="13"/>
      <c r="AD885" s="13"/>
    </row>
    <row r="886" ht="12.75" customHeight="1">
      <c r="D886" s="14"/>
      <c r="E886" s="14"/>
      <c r="F886" s="14"/>
      <c r="G886" s="14"/>
      <c r="H886" s="12"/>
      <c r="I886" s="18"/>
      <c r="T886" s="13"/>
      <c r="AD886" s="13"/>
    </row>
    <row r="887" ht="12.75" customHeight="1">
      <c r="D887" s="14"/>
      <c r="E887" s="14"/>
      <c r="F887" s="14"/>
      <c r="G887" s="14"/>
      <c r="H887" s="12"/>
      <c r="I887" s="18"/>
      <c r="T887" s="13"/>
      <c r="AD887" s="13"/>
    </row>
    <row r="888" ht="12.75" customHeight="1">
      <c r="D888" s="14"/>
      <c r="E888" s="14"/>
      <c r="F888" s="14"/>
      <c r="G888" s="14"/>
      <c r="H888" s="12"/>
      <c r="I888" s="18"/>
      <c r="T888" s="13"/>
      <c r="AD888" s="13"/>
    </row>
    <row r="889" ht="12.75" customHeight="1">
      <c r="D889" s="14"/>
      <c r="E889" s="14"/>
      <c r="F889" s="14"/>
      <c r="G889" s="14"/>
      <c r="H889" s="12"/>
      <c r="I889" s="18"/>
      <c r="T889" s="13"/>
      <c r="AD889" s="13"/>
    </row>
    <row r="890" ht="12.75" customHeight="1">
      <c r="D890" s="14"/>
      <c r="E890" s="14"/>
      <c r="F890" s="14"/>
      <c r="G890" s="14"/>
      <c r="H890" s="12"/>
      <c r="I890" s="18"/>
      <c r="T890" s="13"/>
      <c r="AD890" s="13"/>
    </row>
    <row r="891" ht="12.75" customHeight="1">
      <c r="D891" s="14"/>
      <c r="E891" s="14"/>
      <c r="F891" s="14"/>
      <c r="G891" s="14"/>
      <c r="H891" s="12"/>
      <c r="I891" s="18"/>
      <c r="T891" s="13"/>
      <c r="AD891" s="13"/>
    </row>
    <row r="892" ht="12.75" customHeight="1">
      <c r="D892" s="14"/>
      <c r="E892" s="14"/>
      <c r="F892" s="14"/>
      <c r="G892" s="14"/>
      <c r="H892" s="12"/>
      <c r="I892" s="18"/>
      <c r="T892" s="13"/>
      <c r="AD892" s="13"/>
    </row>
    <row r="893" ht="12.75" customHeight="1">
      <c r="D893" s="14"/>
      <c r="E893" s="14"/>
      <c r="F893" s="14"/>
      <c r="G893" s="14"/>
      <c r="H893" s="12"/>
      <c r="I893" s="18"/>
      <c r="T893" s="13"/>
      <c r="AD893" s="13"/>
    </row>
    <row r="894" ht="12.75" customHeight="1">
      <c r="D894" s="14"/>
      <c r="E894" s="14"/>
      <c r="F894" s="14"/>
      <c r="G894" s="14"/>
      <c r="H894" s="12"/>
      <c r="I894" s="18"/>
      <c r="T894" s="13"/>
      <c r="AD894" s="13"/>
    </row>
    <row r="895" ht="12.75" customHeight="1">
      <c r="D895" s="14"/>
      <c r="E895" s="14"/>
      <c r="F895" s="14"/>
      <c r="G895" s="14"/>
      <c r="H895" s="12"/>
      <c r="I895" s="18"/>
      <c r="T895" s="13"/>
      <c r="AD895" s="13"/>
    </row>
    <row r="896" ht="12.75" customHeight="1">
      <c r="D896" s="14"/>
      <c r="E896" s="14"/>
      <c r="F896" s="14"/>
      <c r="G896" s="14"/>
      <c r="H896" s="12"/>
      <c r="I896" s="18"/>
      <c r="T896" s="13"/>
      <c r="AD896" s="13"/>
    </row>
    <row r="897" ht="12.75" customHeight="1">
      <c r="D897" s="14"/>
      <c r="E897" s="14"/>
      <c r="F897" s="14"/>
      <c r="G897" s="14"/>
      <c r="H897" s="12"/>
      <c r="I897" s="18"/>
      <c r="T897" s="13"/>
      <c r="AD897" s="13"/>
    </row>
    <row r="898" ht="12.75" customHeight="1">
      <c r="D898" s="14"/>
      <c r="E898" s="14"/>
      <c r="F898" s="14"/>
      <c r="G898" s="14"/>
      <c r="H898" s="12"/>
      <c r="I898" s="18"/>
      <c r="T898" s="13"/>
      <c r="AD898" s="13"/>
    </row>
    <row r="899" ht="12.75" customHeight="1">
      <c r="D899" s="14"/>
      <c r="E899" s="14"/>
      <c r="F899" s="14"/>
      <c r="G899" s="14"/>
      <c r="H899" s="12"/>
      <c r="I899" s="18"/>
      <c r="T899" s="13"/>
      <c r="AD899" s="13"/>
    </row>
    <row r="900" ht="12.75" customHeight="1">
      <c r="D900" s="14"/>
      <c r="E900" s="14"/>
      <c r="F900" s="14"/>
      <c r="G900" s="14"/>
      <c r="H900" s="12"/>
      <c r="I900" s="18"/>
      <c r="T900" s="13"/>
      <c r="AD900" s="13"/>
    </row>
    <row r="901" ht="12.75" customHeight="1">
      <c r="D901" s="14"/>
      <c r="E901" s="14"/>
      <c r="F901" s="14"/>
      <c r="G901" s="14"/>
      <c r="H901" s="12"/>
      <c r="I901" s="18"/>
      <c r="T901" s="13"/>
      <c r="AD901" s="13"/>
    </row>
    <row r="902" ht="12.75" customHeight="1">
      <c r="D902" s="14"/>
      <c r="E902" s="14"/>
      <c r="F902" s="14"/>
      <c r="G902" s="14"/>
      <c r="H902" s="12"/>
      <c r="I902" s="18"/>
      <c r="T902" s="13"/>
      <c r="AD902" s="13"/>
    </row>
    <row r="903" ht="12.75" customHeight="1">
      <c r="D903" s="14"/>
      <c r="E903" s="14"/>
      <c r="F903" s="14"/>
      <c r="G903" s="14"/>
      <c r="H903" s="12"/>
      <c r="I903" s="18"/>
      <c r="T903" s="13"/>
      <c r="AD903" s="13"/>
    </row>
    <row r="904" ht="12.75" customHeight="1">
      <c r="D904" s="14"/>
      <c r="E904" s="14"/>
      <c r="F904" s="14"/>
      <c r="G904" s="14"/>
      <c r="H904" s="12"/>
      <c r="I904" s="18"/>
      <c r="T904" s="13"/>
      <c r="AD904" s="13"/>
    </row>
    <row r="905" ht="12.75" customHeight="1">
      <c r="D905" s="14"/>
      <c r="E905" s="14"/>
      <c r="F905" s="14"/>
      <c r="G905" s="14"/>
      <c r="H905" s="12"/>
      <c r="I905" s="18"/>
      <c r="T905" s="13"/>
      <c r="AD905" s="13"/>
    </row>
    <row r="906" ht="12.75" customHeight="1">
      <c r="D906" s="14"/>
      <c r="E906" s="14"/>
      <c r="F906" s="14"/>
      <c r="G906" s="14"/>
      <c r="H906" s="12"/>
      <c r="I906" s="18"/>
      <c r="T906" s="13"/>
      <c r="AD906" s="13"/>
    </row>
    <row r="907" ht="12.75" customHeight="1">
      <c r="D907" s="14"/>
      <c r="E907" s="14"/>
      <c r="F907" s="14"/>
      <c r="G907" s="14"/>
      <c r="H907" s="12"/>
      <c r="I907" s="18"/>
      <c r="T907" s="13"/>
      <c r="AD907" s="13"/>
    </row>
    <row r="908" ht="12.75" customHeight="1">
      <c r="D908" s="14"/>
      <c r="E908" s="14"/>
      <c r="F908" s="14"/>
      <c r="G908" s="14"/>
      <c r="H908" s="12"/>
      <c r="I908" s="18"/>
      <c r="T908" s="13"/>
      <c r="AD908" s="13"/>
    </row>
    <row r="909" ht="12.75" customHeight="1">
      <c r="D909" s="14"/>
      <c r="E909" s="14"/>
      <c r="F909" s="14"/>
      <c r="G909" s="14"/>
      <c r="H909" s="12"/>
      <c r="I909" s="18"/>
      <c r="T909" s="13"/>
      <c r="AD909" s="13"/>
    </row>
    <row r="910" ht="12.75" customHeight="1">
      <c r="D910" s="14"/>
      <c r="E910" s="14"/>
      <c r="F910" s="14"/>
      <c r="G910" s="14"/>
      <c r="H910" s="12"/>
      <c r="I910" s="18"/>
      <c r="T910" s="13"/>
      <c r="AD910" s="13"/>
    </row>
    <row r="911" ht="12.75" customHeight="1">
      <c r="D911" s="14"/>
      <c r="E911" s="14"/>
      <c r="F911" s="14"/>
      <c r="G911" s="14"/>
      <c r="H911" s="12"/>
      <c r="I911" s="18"/>
      <c r="T911" s="13"/>
      <c r="AD911" s="13"/>
    </row>
    <row r="912" ht="12.75" customHeight="1">
      <c r="D912" s="14"/>
      <c r="E912" s="14"/>
      <c r="F912" s="14"/>
      <c r="G912" s="14"/>
      <c r="H912" s="12"/>
      <c r="I912" s="18"/>
      <c r="T912" s="13"/>
      <c r="AD912" s="13"/>
    </row>
    <row r="913" ht="12.75" customHeight="1">
      <c r="D913" s="14"/>
      <c r="E913" s="14"/>
      <c r="F913" s="14"/>
      <c r="G913" s="14"/>
      <c r="H913" s="12"/>
      <c r="I913" s="18"/>
      <c r="T913" s="13"/>
      <c r="AD913" s="13"/>
    </row>
    <row r="914" ht="12.75" customHeight="1">
      <c r="D914" s="14"/>
      <c r="E914" s="14"/>
      <c r="F914" s="14"/>
      <c r="G914" s="14"/>
      <c r="H914" s="12"/>
      <c r="I914" s="18"/>
      <c r="T914" s="13"/>
      <c r="AD914" s="13"/>
    </row>
    <row r="915" ht="12.75" customHeight="1">
      <c r="D915" s="14"/>
      <c r="E915" s="14"/>
      <c r="F915" s="14"/>
      <c r="G915" s="14"/>
      <c r="H915" s="12"/>
      <c r="I915" s="18"/>
      <c r="T915" s="13"/>
      <c r="AD915" s="13"/>
    </row>
    <row r="916" ht="12.75" customHeight="1">
      <c r="D916" s="14"/>
      <c r="E916" s="14"/>
      <c r="F916" s="14"/>
      <c r="G916" s="14"/>
      <c r="H916" s="12"/>
      <c r="I916" s="18"/>
      <c r="T916" s="13"/>
      <c r="AD916" s="13"/>
    </row>
    <row r="917" ht="12.75" customHeight="1">
      <c r="D917" s="14"/>
      <c r="E917" s="14"/>
      <c r="F917" s="14"/>
      <c r="G917" s="14"/>
      <c r="H917" s="12"/>
      <c r="I917" s="18"/>
      <c r="T917" s="13"/>
      <c r="AD917" s="13"/>
    </row>
    <row r="918" ht="12.75" customHeight="1">
      <c r="D918" s="14"/>
      <c r="E918" s="14"/>
      <c r="F918" s="14"/>
      <c r="G918" s="14"/>
      <c r="H918" s="12"/>
      <c r="I918" s="18"/>
      <c r="T918" s="13"/>
      <c r="AD918" s="13"/>
    </row>
    <row r="919" ht="12.75" customHeight="1">
      <c r="D919" s="14"/>
      <c r="E919" s="14"/>
      <c r="F919" s="14"/>
      <c r="G919" s="14"/>
      <c r="H919" s="12"/>
      <c r="I919" s="18"/>
      <c r="T919" s="13"/>
      <c r="AD919" s="13"/>
    </row>
    <row r="920" ht="12.75" customHeight="1">
      <c r="D920" s="14"/>
      <c r="E920" s="14"/>
      <c r="F920" s="14"/>
      <c r="G920" s="14"/>
      <c r="H920" s="12"/>
      <c r="I920" s="18"/>
      <c r="T920" s="13"/>
      <c r="AD920" s="13"/>
    </row>
    <row r="921" ht="12.75" customHeight="1">
      <c r="D921" s="14"/>
      <c r="E921" s="14"/>
      <c r="F921" s="14"/>
      <c r="G921" s="14"/>
      <c r="H921" s="12"/>
      <c r="I921" s="18"/>
      <c r="T921" s="13"/>
      <c r="AD921" s="13"/>
    </row>
    <row r="922" ht="12.75" customHeight="1">
      <c r="D922" s="14"/>
      <c r="E922" s="14"/>
      <c r="F922" s="14"/>
      <c r="G922" s="14"/>
      <c r="H922" s="12"/>
      <c r="I922" s="18"/>
      <c r="T922" s="13"/>
      <c r="AD922" s="13"/>
    </row>
    <row r="923" ht="12.75" customHeight="1">
      <c r="D923" s="14"/>
      <c r="E923" s="14"/>
      <c r="F923" s="14"/>
      <c r="G923" s="14"/>
      <c r="H923" s="12"/>
      <c r="I923" s="18"/>
      <c r="T923" s="13"/>
      <c r="AD923" s="13"/>
    </row>
    <row r="924" ht="12.75" customHeight="1">
      <c r="D924" s="14"/>
      <c r="E924" s="14"/>
      <c r="F924" s="14"/>
      <c r="G924" s="14"/>
      <c r="H924" s="12"/>
      <c r="I924" s="18"/>
      <c r="T924" s="13"/>
      <c r="AD924" s="13"/>
    </row>
    <row r="925" ht="12.75" customHeight="1">
      <c r="D925" s="14"/>
      <c r="E925" s="14"/>
      <c r="F925" s="14"/>
      <c r="G925" s="14"/>
      <c r="H925" s="12"/>
      <c r="I925" s="18"/>
      <c r="T925" s="13"/>
      <c r="AD925" s="13"/>
    </row>
    <row r="926" ht="12.75" customHeight="1">
      <c r="D926" s="14"/>
      <c r="E926" s="14"/>
      <c r="F926" s="14"/>
      <c r="G926" s="14"/>
      <c r="H926" s="12"/>
      <c r="I926" s="18"/>
      <c r="T926" s="13"/>
      <c r="AD926" s="13"/>
    </row>
    <row r="927" ht="12.75" customHeight="1">
      <c r="D927" s="14"/>
      <c r="E927" s="14"/>
      <c r="F927" s="14"/>
      <c r="G927" s="14"/>
      <c r="H927" s="12"/>
      <c r="I927" s="18"/>
      <c r="T927" s="13"/>
      <c r="AD927" s="13"/>
    </row>
    <row r="928" ht="12.75" customHeight="1">
      <c r="D928" s="14"/>
      <c r="E928" s="14"/>
      <c r="F928" s="14"/>
      <c r="G928" s="14"/>
      <c r="H928" s="12"/>
      <c r="I928" s="18"/>
      <c r="T928" s="13"/>
      <c r="AD928" s="13"/>
    </row>
    <row r="929" ht="12.75" customHeight="1">
      <c r="D929" s="14"/>
      <c r="E929" s="14"/>
      <c r="F929" s="14"/>
      <c r="G929" s="14"/>
      <c r="H929" s="12"/>
      <c r="I929" s="18"/>
      <c r="T929" s="13"/>
      <c r="AD929" s="13"/>
    </row>
    <row r="930" ht="12.75" customHeight="1">
      <c r="D930" s="14"/>
      <c r="E930" s="14"/>
      <c r="F930" s="14"/>
      <c r="G930" s="14"/>
      <c r="H930" s="12"/>
      <c r="I930" s="18"/>
      <c r="T930" s="13"/>
      <c r="AD930" s="13"/>
    </row>
    <row r="931" ht="12.75" customHeight="1">
      <c r="D931" s="14"/>
      <c r="E931" s="14"/>
      <c r="F931" s="14"/>
      <c r="G931" s="14"/>
      <c r="H931" s="12"/>
      <c r="I931" s="18"/>
      <c r="T931" s="13"/>
      <c r="AD931" s="13"/>
    </row>
    <row r="932" ht="12.75" customHeight="1">
      <c r="D932" s="14"/>
      <c r="E932" s="14"/>
      <c r="F932" s="14"/>
      <c r="G932" s="14"/>
      <c r="H932" s="12"/>
      <c r="I932" s="18"/>
      <c r="T932" s="13"/>
      <c r="AD932" s="13"/>
    </row>
    <row r="933" ht="12.75" customHeight="1">
      <c r="D933" s="14"/>
      <c r="E933" s="14"/>
      <c r="F933" s="14"/>
      <c r="G933" s="14"/>
      <c r="H933" s="12"/>
      <c r="I933" s="18"/>
      <c r="T933" s="13"/>
      <c r="AD933" s="13"/>
    </row>
    <row r="934" ht="12.75" customHeight="1">
      <c r="D934" s="14"/>
      <c r="E934" s="14"/>
      <c r="F934" s="14"/>
      <c r="G934" s="14"/>
      <c r="H934" s="12"/>
      <c r="I934" s="18"/>
      <c r="T934" s="13"/>
      <c r="AD934" s="13"/>
    </row>
    <row r="935" ht="12.75" customHeight="1">
      <c r="D935" s="14"/>
      <c r="E935" s="14"/>
      <c r="F935" s="14"/>
      <c r="G935" s="14"/>
      <c r="H935" s="12"/>
      <c r="I935" s="18"/>
      <c r="T935" s="13"/>
      <c r="AD935" s="13"/>
    </row>
    <row r="936" ht="12.75" customHeight="1">
      <c r="D936" s="14"/>
      <c r="E936" s="14"/>
      <c r="F936" s="14"/>
      <c r="G936" s="14"/>
      <c r="H936" s="12"/>
      <c r="I936" s="18"/>
      <c r="T936" s="13"/>
      <c r="AD936" s="13"/>
    </row>
    <row r="937" ht="12.75" customHeight="1">
      <c r="D937" s="14"/>
      <c r="E937" s="14"/>
      <c r="F937" s="14"/>
      <c r="G937" s="14"/>
      <c r="H937" s="12"/>
      <c r="I937" s="18"/>
      <c r="T937" s="13"/>
      <c r="AD937" s="13"/>
    </row>
    <row r="938" ht="12.75" customHeight="1">
      <c r="D938" s="14"/>
      <c r="E938" s="14"/>
      <c r="F938" s="14"/>
      <c r="G938" s="14"/>
      <c r="H938" s="12"/>
      <c r="I938" s="18"/>
      <c r="T938" s="13"/>
      <c r="AD938" s="13"/>
    </row>
    <row r="939" ht="12.75" customHeight="1">
      <c r="D939" s="14"/>
      <c r="E939" s="14"/>
      <c r="F939" s="14"/>
      <c r="G939" s="14"/>
      <c r="H939" s="12"/>
      <c r="I939" s="18"/>
      <c r="T939" s="13"/>
      <c r="AD939" s="13"/>
    </row>
    <row r="940" ht="12.75" customHeight="1">
      <c r="D940" s="14"/>
      <c r="E940" s="14"/>
      <c r="F940" s="14"/>
      <c r="G940" s="14"/>
      <c r="H940" s="12"/>
      <c r="I940" s="18"/>
      <c r="T940" s="13"/>
      <c r="AD940" s="13"/>
    </row>
    <row r="941" ht="12.75" customHeight="1">
      <c r="D941" s="14"/>
      <c r="E941" s="14"/>
      <c r="F941" s="14"/>
      <c r="G941" s="14"/>
      <c r="H941" s="12"/>
      <c r="I941" s="18"/>
      <c r="T941" s="13"/>
      <c r="AD941" s="13"/>
    </row>
    <row r="942" ht="12.75" customHeight="1">
      <c r="D942" s="14"/>
      <c r="E942" s="14"/>
      <c r="F942" s="14"/>
      <c r="G942" s="14"/>
      <c r="H942" s="12"/>
      <c r="I942" s="18"/>
      <c r="T942" s="13"/>
      <c r="AD942" s="13"/>
    </row>
    <row r="943" ht="12.75" customHeight="1">
      <c r="D943" s="14"/>
      <c r="E943" s="14"/>
      <c r="F943" s="14"/>
      <c r="G943" s="14"/>
      <c r="H943" s="12"/>
      <c r="I943" s="18"/>
      <c r="T943" s="13"/>
      <c r="AD943" s="13"/>
    </row>
    <row r="944" ht="12.75" customHeight="1">
      <c r="D944" s="14"/>
      <c r="E944" s="14"/>
      <c r="F944" s="14"/>
      <c r="G944" s="14"/>
      <c r="H944" s="12"/>
      <c r="I944" s="18"/>
      <c r="T944" s="13"/>
      <c r="AD944" s="13"/>
    </row>
    <row r="945" ht="12.75" customHeight="1">
      <c r="D945" s="14"/>
      <c r="E945" s="14"/>
      <c r="F945" s="14"/>
      <c r="G945" s="14"/>
      <c r="H945" s="12"/>
      <c r="I945" s="18"/>
      <c r="T945" s="13"/>
      <c r="AD945" s="13"/>
    </row>
    <row r="946" ht="12.75" customHeight="1">
      <c r="D946" s="14"/>
      <c r="E946" s="14"/>
      <c r="F946" s="14"/>
      <c r="G946" s="14"/>
      <c r="H946" s="12"/>
      <c r="I946" s="18"/>
      <c r="T946" s="13"/>
      <c r="AD946" s="13"/>
    </row>
    <row r="947" ht="12.75" customHeight="1">
      <c r="D947" s="14"/>
      <c r="E947" s="14"/>
      <c r="F947" s="14"/>
      <c r="G947" s="14"/>
      <c r="H947" s="12"/>
      <c r="I947" s="18"/>
      <c r="T947" s="13"/>
      <c r="AD947" s="13"/>
    </row>
    <row r="948" ht="12.75" customHeight="1">
      <c r="D948" s="14"/>
      <c r="E948" s="14"/>
      <c r="F948" s="14"/>
      <c r="G948" s="14"/>
      <c r="H948" s="12"/>
      <c r="I948" s="18"/>
      <c r="T948" s="13"/>
      <c r="AD948" s="13"/>
    </row>
    <row r="949" ht="12.75" customHeight="1">
      <c r="D949" s="14"/>
      <c r="E949" s="14"/>
      <c r="F949" s="14"/>
      <c r="G949" s="14"/>
      <c r="H949" s="12"/>
      <c r="I949" s="18"/>
      <c r="T949" s="13"/>
      <c r="AD949" s="13"/>
    </row>
    <row r="950" ht="12.75" customHeight="1">
      <c r="D950" s="14"/>
      <c r="E950" s="14"/>
      <c r="F950" s="14"/>
      <c r="G950" s="14"/>
      <c r="H950" s="12"/>
      <c r="I950" s="18"/>
      <c r="T950" s="13"/>
      <c r="AD950" s="13"/>
    </row>
    <row r="951" ht="12.75" customHeight="1">
      <c r="D951" s="14"/>
      <c r="E951" s="14"/>
      <c r="F951" s="14"/>
      <c r="G951" s="14"/>
      <c r="H951" s="12"/>
      <c r="I951" s="18"/>
      <c r="T951" s="13"/>
      <c r="AD951" s="13"/>
    </row>
    <row r="952" ht="12.75" customHeight="1">
      <c r="D952" s="14"/>
      <c r="E952" s="14"/>
      <c r="F952" s="14"/>
      <c r="G952" s="14"/>
      <c r="H952" s="12"/>
      <c r="I952" s="18"/>
      <c r="T952" s="13"/>
      <c r="AD952" s="13"/>
    </row>
    <row r="953" ht="12.75" customHeight="1">
      <c r="D953" s="14"/>
      <c r="E953" s="14"/>
      <c r="F953" s="14"/>
      <c r="G953" s="14"/>
      <c r="H953" s="12"/>
      <c r="I953" s="18"/>
      <c r="T953" s="13"/>
      <c r="AD953" s="13"/>
    </row>
    <row r="954" ht="12.75" customHeight="1">
      <c r="D954" s="14"/>
      <c r="E954" s="14"/>
      <c r="F954" s="14"/>
      <c r="G954" s="14"/>
      <c r="H954" s="12"/>
      <c r="I954" s="18"/>
      <c r="T954" s="13"/>
      <c r="AD954" s="13"/>
    </row>
    <row r="955" ht="12.75" customHeight="1">
      <c r="D955" s="14"/>
      <c r="E955" s="14"/>
      <c r="F955" s="14"/>
      <c r="G955" s="14"/>
      <c r="H955" s="12"/>
      <c r="I955" s="18"/>
      <c r="T955" s="13"/>
      <c r="AD955" s="13"/>
    </row>
    <row r="956" ht="12.75" customHeight="1">
      <c r="D956" s="14"/>
      <c r="E956" s="14"/>
      <c r="F956" s="14"/>
      <c r="G956" s="14"/>
      <c r="H956" s="12"/>
      <c r="I956" s="18"/>
      <c r="T956" s="13"/>
      <c r="AD956" s="13"/>
    </row>
    <row r="957" ht="12.75" customHeight="1">
      <c r="D957" s="14"/>
      <c r="E957" s="14"/>
      <c r="F957" s="14"/>
      <c r="G957" s="14"/>
      <c r="H957" s="12"/>
      <c r="I957" s="18"/>
      <c r="T957" s="13"/>
      <c r="AD957" s="13"/>
    </row>
    <row r="958" ht="12.75" customHeight="1">
      <c r="D958" s="14"/>
      <c r="E958" s="14"/>
      <c r="F958" s="14"/>
      <c r="G958" s="14"/>
      <c r="H958" s="12"/>
      <c r="I958" s="18"/>
      <c r="T958" s="13"/>
      <c r="AD958" s="13"/>
    </row>
    <row r="959" ht="12.75" customHeight="1">
      <c r="D959" s="14"/>
      <c r="E959" s="14"/>
      <c r="F959" s="14"/>
      <c r="G959" s="14"/>
      <c r="H959" s="12"/>
      <c r="I959" s="18"/>
      <c r="T959" s="13"/>
      <c r="AD959" s="13"/>
    </row>
    <row r="960" ht="12.75" customHeight="1">
      <c r="D960" s="14"/>
      <c r="E960" s="14"/>
      <c r="F960" s="14"/>
      <c r="G960" s="14"/>
      <c r="H960" s="12"/>
      <c r="I960" s="18"/>
      <c r="T960" s="13"/>
      <c r="AD960" s="13"/>
    </row>
    <row r="961" ht="12.75" customHeight="1">
      <c r="D961" s="14"/>
      <c r="E961" s="14"/>
      <c r="F961" s="14"/>
      <c r="G961" s="14"/>
      <c r="H961" s="12"/>
      <c r="I961" s="18"/>
      <c r="T961" s="13"/>
      <c r="AD961" s="13"/>
    </row>
    <row r="962" ht="12.75" customHeight="1">
      <c r="D962" s="14"/>
      <c r="E962" s="14"/>
      <c r="F962" s="14"/>
      <c r="G962" s="14"/>
      <c r="H962" s="12"/>
      <c r="I962" s="18"/>
      <c r="T962" s="13"/>
      <c r="AD962" s="13"/>
    </row>
    <row r="963" ht="12.75" customHeight="1">
      <c r="D963" s="14"/>
      <c r="E963" s="14"/>
      <c r="F963" s="14"/>
      <c r="G963" s="14"/>
      <c r="H963" s="12"/>
      <c r="I963" s="18"/>
      <c r="T963" s="13"/>
      <c r="AD963" s="13"/>
    </row>
    <row r="964" ht="12.75" customHeight="1">
      <c r="D964" s="14"/>
      <c r="E964" s="14"/>
      <c r="F964" s="14"/>
      <c r="G964" s="14"/>
      <c r="H964" s="12"/>
      <c r="I964" s="18"/>
      <c r="T964" s="13"/>
      <c r="AD964" s="13"/>
    </row>
    <row r="965" ht="12.75" customHeight="1">
      <c r="D965" s="14"/>
      <c r="E965" s="14"/>
      <c r="F965" s="14"/>
      <c r="G965" s="14"/>
      <c r="H965" s="12"/>
      <c r="I965" s="18"/>
      <c r="T965" s="13"/>
      <c r="AD965" s="13"/>
    </row>
    <row r="966" ht="12.75" customHeight="1">
      <c r="D966" s="14"/>
      <c r="E966" s="14"/>
      <c r="F966" s="14"/>
      <c r="G966" s="14"/>
      <c r="H966" s="12"/>
      <c r="I966" s="18"/>
      <c r="T966" s="13"/>
      <c r="AD966" s="13"/>
    </row>
    <row r="967" ht="12.75" customHeight="1">
      <c r="D967" s="14"/>
      <c r="E967" s="14"/>
      <c r="F967" s="14"/>
      <c r="G967" s="14"/>
      <c r="H967" s="12"/>
      <c r="I967" s="18"/>
      <c r="T967" s="13"/>
      <c r="AD967" s="13"/>
    </row>
    <row r="968" ht="12.75" customHeight="1">
      <c r="D968" s="14"/>
      <c r="E968" s="14"/>
      <c r="F968" s="14"/>
      <c r="G968" s="14"/>
      <c r="H968" s="12"/>
      <c r="I968" s="18"/>
      <c r="T968" s="13"/>
      <c r="AD968" s="13"/>
    </row>
    <row r="969" ht="12.75" customHeight="1">
      <c r="D969" s="14"/>
      <c r="E969" s="14"/>
      <c r="F969" s="14"/>
      <c r="G969" s="14"/>
      <c r="H969" s="12"/>
      <c r="I969" s="18"/>
      <c r="T969" s="13"/>
      <c r="AD969" s="13"/>
    </row>
    <row r="970" ht="12.75" customHeight="1">
      <c r="D970" s="14"/>
      <c r="E970" s="14"/>
      <c r="F970" s="14"/>
      <c r="G970" s="14"/>
      <c r="H970" s="12"/>
      <c r="I970" s="18"/>
      <c r="T970" s="13"/>
      <c r="AD970" s="13"/>
    </row>
    <row r="971" ht="12.75" customHeight="1">
      <c r="D971" s="14"/>
      <c r="E971" s="14"/>
      <c r="F971" s="14"/>
      <c r="G971" s="14"/>
      <c r="H971" s="12"/>
      <c r="I971" s="18"/>
      <c r="T971" s="13"/>
      <c r="AD971" s="13"/>
    </row>
    <row r="972" ht="12.75" customHeight="1">
      <c r="D972" s="14"/>
      <c r="E972" s="14"/>
      <c r="F972" s="14"/>
      <c r="G972" s="14"/>
      <c r="H972" s="12"/>
      <c r="I972" s="18"/>
      <c r="T972" s="13"/>
      <c r="AD972" s="13"/>
    </row>
    <row r="973" ht="12.75" customHeight="1">
      <c r="D973" s="14"/>
      <c r="E973" s="14"/>
      <c r="F973" s="14"/>
      <c r="G973" s="14"/>
      <c r="H973" s="12"/>
      <c r="I973" s="18"/>
      <c r="T973" s="13"/>
      <c r="AD973" s="13"/>
    </row>
    <row r="974" ht="12.75" customHeight="1">
      <c r="D974" s="14"/>
      <c r="E974" s="14"/>
      <c r="F974" s="14"/>
      <c r="G974" s="14"/>
      <c r="H974" s="12"/>
      <c r="I974" s="18"/>
      <c r="T974" s="13"/>
      <c r="AD974" s="13"/>
    </row>
    <row r="975" ht="12.75" customHeight="1">
      <c r="D975" s="14"/>
      <c r="E975" s="14"/>
      <c r="F975" s="14"/>
      <c r="G975" s="14"/>
      <c r="H975" s="12"/>
      <c r="I975" s="18"/>
      <c r="T975" s="13"/>
      <c r="AD975" s="13"/>
    </row>
    <row r="976" ht="12.75" customHeight="1">
      <c r="D976" s="14"/>
      <c r="E976" s="14"/>
      <c r="F976" s="14"/>
      <c r="G976" s="14"/>
      <c r="H976" s="12"/>
      <c r="I976" s="18"/>
      <c r="T976" s="13"/>
      <c r="AD976" s="13"/>
    </row>
    <row r="977" ht="12.75" customHeight="1">
      <c r="D977" s="14"/>
      <c r="E977" s="14"/>
      <c r="F977" s="14"/>
      <c r="G977" s="14"/>
      <c r="H977" s="12"/>
      <c r="I977" s="18"/>
      <c r="T977" s="13"/>
      <c r="AD977" s="13"/>
    </row>
    <row r="978" ht="12.75" customHeight="1">
      <c r="D978" s="14"/>
      <c r="E978" s="14"/>
      <c r="F978" s="14"/>
      <c r="G978" s="14"/>
      <c r="H978" s="12"/>
      <c r="I978" s="18"/>
      <c r="T978" s="13"/>
      <c r="AD978" s="13"/>
    </row>
    <row r="979" ht="12.75" customHeight="1">
      <c r="D979" s="14"/>
      <c r="E979" s="14"/>
      <c r="F979" s="14"/>
      <c r="G979" s="14"/>
      <c r="H979" s="12"/>
      <c r="I979" s="18"/>
      <c r="T979" s="13"/>
      <c r="AD979" s="13"/>
    </row>
    <row r="980" ht="12.75" customHeight="1">
      <c r="D980" s="14"/>
      <c r="E980" s="14"/>
      <c r="F980" s="14"/>
      <c r="G980" s="14"/>
      <c r="H980" s="12"/>
      <c r="I980" s="18"/>
      <c r="T980" s="13"/>
      <c r="AD980" s="13"/>
    </row>
    <row r="981" ht="12.75" customHeight="1">
      <c r="D981" s="14"/>
      <c r="E981" s="14"/>
      <c r="F981" s="14"/>
      <c r="G981" s="14"/>
      <c r="H981" s="12"/>
      <c r="I981" s="18"/>
      <c r="T981" s="13"/>
      <c r="AD981" s="13"/>
    </row>
    <row r="982" ht="12.75" customHeight="1">
      <c r="D982" s="14"/>
      <c r="E982" s="14"/>
      <c r="F982" s="14"/>
      <c r="G982" s="14"/>
      <c r="H982" s="12"/>
      <c r="I982" s="18"/>
      <c r="T982" s="13"/>
      <c r="AD982" s="13"/>
    </row>
    <row r="983" ht="12.75" customHeight="1">
      <c r="D983" s="14"/>
      <c r="E983" s="14"/>
      <c r="F983" s="14"/>
      <c r="G983" s="14"/>
      <c r="H983" s="12"/>
      <c r="I983" s="18"/>
      <c r="T983" s="13"/>
      <c r="AD983" s="13"/>
    </row>
    <row r="984" ht="12.75" customHeight="1">
      <c r="D984" s="14"/>
      <c r="E984" s="14"/>
      <c r="F984" s="14"/>
      <c r="G984" s="14"/>
      <c r="H984" s="12"/>
      <c r="I984" s="18"/>
      <c r="T984" s="13"/>
      <c r="AD984" s="13"/>
    </row>
    <row r="985" ht="12.75" customHeight="1">
      <c r="D985" s="14"/>
      <c r="E985" s="14"/>
      <c r="F985" s="14"/>
      <c r="G985" s="14"/>
      <c r="H985" s="12"/>
      <c r="I985" s="18"/>
      <c r="T985" s="13"/>
      <c r="AD985" s="13"/>
    </row>
    <row r="986" ht="12.75" customHeight="1">
      <c r="D986" s="14"/>
      <c r="E986" s="14"/>
      <c r="F986" s="14"/>
      <c r="G986" s="14"/>
      <c r="H986" s="12"/>
      <c r="I986" s="18"/>
      <c r="T986" s="13"/>
      <c r="AD986" s="13"/>
    </row>
    <row r="987" ht="12.75" customHeight="1">
      <c r="D987" s="14"/>
      <c r="E987" s="14"/>
      <c r="F987" s="14"/>
      <c r="G987" s="14"/>
      <c r="H987" s="12"/>
      <c r="I987" s="18"/>
      <c r="T987" s="13"/>
      <c r="AD987" s="13"/>
    </row>
    <row r="988" ht="12.75" customHeight="1">
      <c r="D988" s="14"/>
      <c r="E988" s="14"/>
      <c r="F988" s="14"/>
      <c r="G988" s="14"/>
      <c r="H988" s="12"/>
      <c r="I988" s="18"/>
      <c r="T988" s="13"/>
      <c r="AD988" s="13"/>
    </row>
    <row r="989" ht="12.75" customHeight="1">
      <c r="D989" s="14"/>
      <c r="E989" s="14"/>
      <c r="F989" s="14"/>
      <c r="G989" s="14"/>
      <c r="H989" s="12"/>
      <c r="I989" s="18"/>
      <c r="T989" s="13"/>
      <c r="AD989" s="13"/>
    </row>
    <row r="990" ht="12.75" customHeight="1">
      <c r="D990" s="14"/>
      <c r="E990" s="14"/>
      <c r="F990" s="14"/>
      <c r="G990" s="14"/>
      <c r="H990" s="12"/>
      <c r="I990" s="18"/>
      <c r="T990" s="13"/>
      <c r="AD990" s="13"/>
    </row>
    <row r="991" ht="12.75" customHeight="1">
      <c r="D991" s="14"/>
      <c r="E991" s="14"/>
      <c r="F991" s="14"/>
      <c r="G991" s="14"/>
      <c r="H991" s="12"/>
      <c r="I991" s="18"/>
      <c r="T991" s="13"/>
      <c r="AD991" s="13"/>
    </row>
    <row r="992" ht="12.75" customHeight="1">
      <c r="D992" s="14"/>
      <c r="E992" s="14"/>
      <c r="F992" s="14"/>
      <c r="G992" s="14"/>
      <c r="H992" s="12"/>
      <c r="I992" s="18"/>
      <c r="T992" s="13"/>
      <c r="AD992" s="13"/>
    </row>
    <row r="993" ht="12.75" customHeight="1">
      <c r="D993" s="14"/>
      <c r="E993" s="14"/>
      <c r="F993" s="14"/>
      <c r="G993" s="14"/>
      <c r="H993" s="12"/>
      <c r="I993" s="18"/>
      <c r="T993" s="13"/>
      <c r="AD993" s="13"/>
    </row>
    <row r="994" ht="12.75" customHeight="1">
      <c r="D994" s="14"/>
      <c r="E994" s="14"/>
      <c r="F994" s="14"/>
      <c r="G994" s="14"/>
      <c r="H994" s="12"/>
      <c r="I994" s="18"/>
      <c r="T994" s="13"/>
      <c r="AD994" s="13"/>
    </row>
    <row r="995" ht="12.75" customHeight="1">
      <c r="D995" s="14"/>
      <c r="E995" s="14"/>
      <c r="F995" s="14"/>
      <c r="G995" s="14"/>
      <c r="H995" s="12"/>
      <c r="I995" s="18"/>
      <c r="T995" s="13"/>
      <c r="AD995" s="13"/>
    </row>
    <row r="996" ht="12.75" customHeight="1">
      <c r="D996" s="14"/>
      <c r="E996" s="14"/>
      <c r="F996" s="14"/>
      <c r="G996" s="14"/>
      <c r="H996" s="12"/>
      <c r="I996" s="18"/>
      <c r="T996" s="13"/>
      <c r="AD996" s="13"/>
    </row>
    <row r="997" ht="12.75" customHeight="1">
      <c r="D997" s="14"/>
      <c r="E997" s="14"/>
      <c r="F997" s="14"/>
      <c r="G997" s="14"/>
      <c r="H997" s="12"/>
      <c r="I997" s="18"/>
      <c r="T997" s="13"/>
      <c r="AD997" s="13"/>
    </row>
    <row r="998" ht="12.75" customHeight="1">
      <c r="D998" s="14"/>
      <c r="E998" s="14"/>
      <c r="F998" s="14"/>
      <c r="G998" s="14"/>
      <c r="H998" s="12"/>
      <c r="I998" s="18"/>
      <c r="T998" s="13"/>
      <c r="AD998" s="13"/>
    </row>
    <row r="999" ht="12.75" customHeight="1">
      <c r="D999" s="14"/>
      <c r="E999" s="14"/>
      <c r="F999" s="14"/>
      <c r="G999" s="14"/>
      <c r="H999" s="12"/>
      <c r="I999" s="18"/>
      <c r="T999" s="13"/>
      <c r="AD999" s="13"/>
    </row>
    <row r="1000" ht="12.75" customHeight="1">
      <c r="D1000" s="14"/>
      <c r="E1000" s="14"/>
      <c r="F1000" s="14"/>
      <c r="G1000" s="14"/>
      <c r="H1000" s="12"/>
      <c r="I1000" s="18"/>
      <c r="T1000" s="13"/>
      <c r="AD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1996-10-08T23:32:33Z</dcterms:created>
  <dc:creator>Microsoft Corporation</dc:creator>
</cp:coreProperties>
</file>